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lixowl\Desktop\pulse_eu\data\"/>
    </mc:Choice>
  </mc:AlternateContent>
  <xr:revisionPtr revIDLastSave="0" documentId="13_ncr:1_{78DB592F-C0B3-4AE0-83C5-622F7F852093}" xr6:coauthVersionLast="36" xr6:coauthVersionMax="47" xr10:uidLastSave="{00000000-0000-0000-0000-000000000000}"/>
  <bookViews>
    <workbookView xWindow="-23150" yWindow="4790" windowWidth="23260" windowHeight="13900" xr2:uid="{15A6544B-C42B-4347-AAE4-34A99A7934D0}"/>
  </bookViews>
  <sheets>
    <sheet name="Strateg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1" l="1"/>
  <c r="S64" i="1"/>
  <c r="R64" i="1"/>
  <c r="T63" i="1"/>
  <c r="S63" i="1"/>
  <c r="R63" i="1"/>
  <c r="W16" i="1" l="1"/>
  <c r="W14" i="1"/>
  <c r="T16" i="1"/>
  <c r="T14" i="1"/>
  <c r="Q16" i="1"/>
  <c r="Q14" i="1"/>
  <c r="Q15" i="1"/>
  <c r="Q13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T41" i="1"/>
  <c r="T53" i="1"/>
  <c r="T52" i="1"/>
  <c r="T51" i="1"/>
  <c r="T50" i="1"/>
  <c r="T49" i="1"/>
  <c r="T48" i="1"/>
  <c r="T47" i="1"/>
  <c r="T46" i="1"/>
  <c r="T45" i="1"/>
  <c r="T44" i="1"/>
  <c r="T43" i="1"/>
  <c r="T42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W5" i="1"/>
  <c r="V5" i="1"/>
  <c r="U5" i="1"/>
  <c r="T5" i="1"/>
  <c r="S5" i="1"/>
  <c r="R5" i="1"/>
  <c r="Q5" i="1"/>
  <c r="P5" i="1"/>
  <c r="O5" i="1"/>
  <c r="N24" i="1" l="1"/>
  <c r="N23" i="1"/>
  <c r="N22" i="1"/>
  <c r="N21" i="1"/>
  <c r="N18" i="1"/>
  <c r="N17" i="1"/>
  <c r="W13" i="1" l="1"/>
  <c r="W15" i="1"/>
  <c r="T15" i="1"/>
  <c r="R14" i="1"/>
  <c r="S14" i="1" s="1"/>
  <c r="T13" i="1"/>
  <c r="U16" i="1"/>
  <c r="V16" i="1" s="1"/>
  <c r="R16" i="1"/>
  <c r="S16" i="1" s="1"/>
  <c r="O16" i="1"/>
  <c r="P16" i="1" s="1"/>
  <c r="U14" i="1"/>
  <c r="V14" i="1" s="1"/>
  <c r="O14" i="1"/>
  <c r="P14" i="1" s="1"/>
  <c r="U15" i="1" l="1"/>
  <c r="V15" i="1" s="1"/>
  <c r="R15" i="1"/>
  <c r="S15" i="1" s="1"/>
  <c r="U13" i="1"/>
  <c r="V13" i="1" s="1"/>
  <c r="R13" i="1"/>
  <c r="S13" i="1" s="1"/>
  <c r="O15" i="1"/>
  <c r="P15" i="1" s="1"/>
  <c r="O13" i="1"/>
  <c r="P13" i="1" s="1"/>
  <c r="W26" i="1" l="1"/>
  <c r="V26" i="1"/>
  <c r="U26" i="1"/>
  <c r="T26" i="1"/>
  <c r="S26" i="1"/>
  <c r="R26" i="1"/>
  <c r="Q26" i="1"/>
  <c r="P26" i="1"/>
  <c r="O26" i="1"/>
</calcChain>
</file>

<file path=xl/sharedStrings.xml><?xml version="1.0" encoding="utf-8"?>
<sst xmlns="http://schemas.openxmlformats.org/spreadsheetml/2006/main" count="927" uniqueCount="246">
  <si>
    <t>CRS_code</t>
  </si>
  <si>
    <t>CRS_description</t>
  </si>
  <si>
    <t>stock_activity_type_code</t>
  </si>
  <si>
    <t>element_class_generic_name</t>
  </si>
  <si>
    <t>material_name_JRC_CDW</t>
  </si>
  <si>
    <t>LCS_EN15978</t>
  </si>
  <si>
    <t>CRS_impact</t>
  </si>
  <si>
    <t>*</t>
  </si>
  <si>
    <t>['Steel']</t>
  </si>
  <si>
    <t>['Concrete']</t>
  </si>
  <si>
    <t>Material use optimisation in structural design</t>
  </si>
  <si>
    <t>['Aluminium']</t>
  </si>
  <si>
    <t>TRUE</t>
  </si>
  <si>
    <t>ind</t>
  </si>
  <si>
    <t>implementation</t>
  </si>
  <si>
    <t>preprocessing</t>
  </si>
  <si>
    <t>amount_material_kg_per_building</t>
  </si>
  <si>
    <t>affected variable</t>
  </si>
  <si>
    <t>stock</t>
  </si>
  <si>
    <t>n/a</t>
  </si>
  <si>
    <t>Extend building lifetime through renovation and repurposing</t>
  </si>
  <si>
    <t>Vacancy reduction</t>
  </si>
  <si>
    <t>Comments</t>
  </si>
  <si>
    <t>CRS_diffusion_2030_low</t>
  </si>
  <si>
    <t>CRS_diffusion_2040_low</t>
  </si>
  <si>
    <t>CRS_diffusion_2050_low</t>
  </si>
  <si>
    <t>CRS_diffusion_2030_medium</t>
  </si>
  <si>
    <t>CRS_diffusion_2040_medium</t>
  </si>
  <si>
    <t>CRS_diffusion_2050_medium</t>
  </si>
  <si>
    <t>CRS_diffusion_2030_high</t>
  </si>
  <si>
    <t>CRS_diffusion_2040_high</t>
  </si>
  <si>
    <t>CRS_diffusion_2050_high</t>
  </si>
  <si>
    <t>Optimise the use of space in buildings</t>
  </si>
  <si>
    <t>Re-designing buildings for a denser use</t>
  </si>
  <si>
    <t>Design for flexibility and adaptability</t>
  </si>
  <si>
    <t>['External walls']</t>
  </si>
  <si>
    <t>['Internal walls']</t>
  </si>
  <si>
    <t>Offsite construction</t>
  </si>
  <si>
    <t>['NEW', 'REF']</t>
  </si>
  <si>
    <t>FALSE</t>
  </si>
  <si>
    <t>Material shift - Full timber</t>
  </si>
  <si>
    <t>Material shift - Hybrid timber</t>
  </si>
  <si>
    <t>Material shift - Biobased insulation</t>
  </si>
  <si>
    <t>5.1.1</t>
  </si>
  <si>
    <t>Material substitution - Cement (ACMs)</t>
  </si>
  <si>
    <t>5.1.2</t>
  </si>
  <si>
    <t xml:space="preserve">Material substitution - Clinker substitutes </t>
  </si>
  <si>
    <t>5.1.3</t>
  </si>
  <si>
    <t>Material substitution - Mineral wool insulation</t>
  </si>
  <si>
    <t>5.1.4</t>
  </si>
  <si>
    <t>Material substitution - Paints and glues</t>
  </si>
  <si>
    <t>Use of locally sourced materials</t>
  </si>
  <si>
    <t>Use of alternative fuels in transportation</t>
  </si>
  <si>
    <t>Use of alternative fuels in construction machinery</t>
  </si>
  <si>
    <t>Machine use optimisation</t>
  </si>
  <si>
    <t>Re-use of existing building components and materials</t>
  </si>
  <si>
    <t>Use of materials with high recycled content</t>
  </si>
  <si>
    <t>Green roofs and/or green façades (nature-based CDR)</t>
  </si>
  <si>
    <t>Biochar (nature-based CDR)</t>
  </si>
  <si>
    <t>Direct air capture (technology-based CDR)</t>
  </si>
  <si>
    <t>['ind_GWP_Fos']</t>
  </si>
  <si>
    <t>['Paint and Glue']</t>
  </si>
  <si>
    <t>['External walls', 'Internal walls', 'Common walls', 'Storey floors', 'Roofs', 'External openings', 'Internal openings']</t>
  </si>
  <si>
    <t>Design for disassembly</t>
  </si>
  <si>
    <t>Diffusion assumed, no data</t>
  </si>
  <si>
    <t>['A5', 'C1']</t>
  </si>
  <si>
    <t>['Brick']</t>
  </si>
  <si>
    <t>On site waste sorting</t>
  </si>
  <si>
    <t>Reduce construction packaging</t>
  </si>
  <si>
    <t>EoL waste audit</t>
  </si>
  <si>
    <t>['EXB']</t>
  </si>
  <si>
    <t>['Plastic']</t>
  </si>
  <si>
    <t>['Copper']</t>
  </si>
  <si>
    <t>['Wood']</t>
  </si>
  <si>
    <t>['Glass']</t>
  </si>
  <si>
    <t>['Insulation']</t>
  </si>
  <si>
    <t>['Gypsum']</t>
  </si>
  <si>
    <t>['Steel', 'Plastic', 'Brick', 'Aluminium', 'Copper', 'Wood', 'Glass',  'Concrete', 'Insulation', 'Gypsum']</t>
  </si>
  <si>
    <t xml:space="preserve">Material choice - production of materials using carbon capture, utilisation and storage during manufacturing </t>
  </si>
  <si>
    <t>['SFH', 'MFH', 'ABL']</t>
  </si>
  <si>
    <t>1.1</t>
  </si>
  <si>
    <t>1.2</t>
  </si>
  <si>
    <t>2.1</t>
  </si>
  <si>
    <t>2.2</t>
  </si>
  <si>
    <t>2.3</t>
  </si>
  <si>
    <t>3.2</t>
  </si>
  <si>
    <t>6.1</t>
  </si>
  <si>
    <t>6.2</t>
  </si>
  <si>
    <t>7.2</t>
  </si>
  <si>
    <t>7.1</t>
  </si>
  <si>
    <t>8.3</t>
  </si>
  <si>
    <t>10.1</t>
  </si>
  <si>
    <t>10.2</t>
  </si>
  <si>
    <t>10.3</t>
  </si>
  <si>
    <t>11.1</t>
  </si>
  <si>
    <t>11.2</t>
  </si>
  <si>
    <t>11.3</t>
  </si>
  <si>
    <t>3.1.1</t>
  </si>
  <si>
    <t>3.1.2</t>
  </si>
  <si>
    <t>3.1.3</t>
  </si>
  <si>
    <t>3.1.4</t>
  </si>
  <si>
    <t>3.1.5</t>
  </si>
  <si>
    <t>5.2.1</t>
  </si>
  <si>
    <t>5.2.2</t>
  </si>
  <si>
    <t>5.2.3</t>
  </si>
  <si>
    <t>5.2.4</t>
  </si>
  <si>
    <t>5.2.5</t>
  </si>
  <si>
    <t>5.3.1</t>
  </si>
  <si>
    <t>5.3.2</t>
  </si>
  <si>
    <t>5.3.3</t>
  </si>
  <si>
    <t>8.1.1</t>
  </si>
  <si>
    <t>8.1.2</t>
  </si>
  <si>
    <t>8.1.3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</si>
  <si>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</si>
  <si>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</si>
  <si>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</si>
  <si>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</si>
  <si>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</si>
  <si>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</si>
  <si>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</si>
  <si>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</si>
  <si>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</si>
  <si>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</si>
  <si>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building_use_subtype_code</t>
  </si>
  <si>
    <t>['C3', 'C4']</t>
  </si>
  <si>
    <t>['Storey floors', 'Roofs', 'Substructure']</t>
  </si>
  <si>
    <t>['External walls', 'Internal walls', 'Storey floors', 'Roofs',  'Substructure']</t>
  </si>
  <si>
    <t>Renovation rate (light refurbishment)</t>
  </si>
  <si>
    <t>Renovation rate (medium refurbishment)</t>
  </si>
  <si>
    <t>Renovation rate (deep refurbishment)</t>
  </si>
  <si>
    <t>9.1</t>
  </si>
  <si>
    <t>9.2</t>
  </si>
  <si>
    <t>9.3</t>
  </si>
  <si>
    <t>9.4</t>
  </si>
  <si>
    <t>Share of new NZEB buildings</t>
  </si>
  <si>
    <t>['NEW']</t>
  </si>
  <si>
    <t>['EDU', 'HEA']</t>
  </si>
  <si>
    <t>The effect of this strategy is indirectly included in 1.1, therefore not modelled explicitely.</t>
  </si>
  <si>
    <t>The number of demolitions is reduced by a percentage. These buildings get a deep refurbishment instead of building demolished. 10% diffusion means that 10% of buildings that are about to be demolished in a specific year are "saved" from demolition (repurposed).</t>
  </si>
  <si>
    <t>Only 30% maximum is due to technical measures, the rest (30-60%) is achieved by shifting mindset/economic incentives.</t>
  </si>
  <si>
    <t>A percentage of empty dwellings get a deep refurbishment and are used instead of building new. 10% diffusion means that 10% of empty dwellings in that specific year are used.</t>
  </si>
  <si>
    <t>No reduction potential in the time frame (benefits would be after 2050), so not explicitely modelled.</t>
  </si>
  <si>
    <t>Not in the scope of SLiCE, so not explicitely modelled.</t>
  </si>
  <si>
    <t>9.5</t>
  </si>
  <si>
    <t>New public buildings are built near-zero energy standard (specifically created for the policy narratives scenarios)</t>
  </si>
  <si>
    <t>['SFH', 'MFH', 'ABL', 'OFF', 'TRA', 'OTH', 'HOR']</t>
  </si>
  <si>
    <t>New buildings are built near-zero energy standard. A 5% diffusion means that 5% of new buildings are built with this standard</t>
  </si>
  <si>
    <t>Existing buildings are renovated with a light thermal refurbishment package, improving their energy efficiency (up to 30% energy savings). An exchange of heating systems is also always performed.</t>
  </si>
  <si>
    <t>Existing buildings are renovated with a medium thermal refurbishment package, improving their energy efficiency (up to 60% energy savings). An exchange of heating systems is also always performed.</t>
  </si>
  <si>
    <t>Existing buildings are renovated with a deep thermal refurbishment package, improving their energy efficiency (more than 60% energy savings). An exchange of heating systems is also always performed.</t>
  </si>
  <si>
    <t>Building construction is optimized. Less material is needed, which which leads to less emissions. A diffusion of 5% means that 5% of buildings are built or renovated with material optimisation techniques.</t>
  </si>
  <si>
    <t>Offsite construction (e.g. prefabricated building elements) can be more efficient and reduces emissions from the manufacturing stage of certain materials. A diffusion of 10% means that 10% of the quantity of material needed is produced offsite.</t>
  </si>
  <si>
    <t>Synthetic and mineral insulation materials are substituted by biobased materials. A diffusion of 10% means that 10% of insulation needs are substituted.</t>
  </si>
  <si>
    <t>The use of materials such as calcium sulfoaluminate and alkali-activated binders reduces emissions from the production of cement in concrete. The diffusion refers to the % of cement substituted in concrete production.</t>
  </si>
  <si>
    <t>Replacing cement clinker with by-products such as fly ash or slag can reduce GHG emissions. The diffusion refers to the % of clinker substituted in cement, assuming that the maximum subtitution is 50%. This means that a 100% diffusion refers to a 50% substitution of clinker in cement.</t>
  </si>
  <si>
    <t>Replacing synthetic insulation materials with mineral wool can reduce manufacturing-related GHG emissions. A diffusion of 10% means that 10% of insulation needs are substituted.</t>
  </si>
  <si>
    <t>Switching from solvent-based to water-based paints can reduce emissions. The diffusion refers to the % of paints and glue needs which are substituted.</t>
  </si>
  <si>
    <t>CRS impact and diffusion include direct hydrogen reduction</t>
  </si>
  <si>
    <t>Reduces process emissions by capturing and storing CO2. The diffusion refers to the % of process emissions effectively captured (already including the CO2 losses, about 10%).</t>
  </si>
  <si>
    <t>Assumption that half of non-process emissions (40%/2) of concrete can be reduced for CRS impact (already half is alternative fuels)</t>
  </si>
  <si>
    <t>CRS impact is the % of process emissions in the GWP</t>
  </si>
  <si>
    <t>Increasing the share of locally sourced materials to reduce the distance of transport to the construction site. A diffusion of 3% means that transportation distances are reduced by 3%.</t>
  </si>
  <si>
    <t>Switching from fossil fuels to alternative or electric means of transportation. The diffusion refers to the % of alternative fuels.</t>
  </si>
  <si>
    <t>Diffusion data taken from Austrian studies as a proxy</t>
  </si>
  <si>
    <t>This includes improving machine efficiency, process efficiency and operational efficiency through better training and technology. The diffusion is a % of optimisation.</t>
  </si>
  <si>
    <t>This measure involves the reuse of products, materials, or entire components from other buildings. A 2% diffusion means that 2% of material needs are coming from reused materials.</t>
  </si>
  <si>
    <t>Increasing the recycled content in building materials reduces the need for primary materials and reduces energy demand and GHG emissions. The diffusion refers to the % of recycled content in material production.</t>
  </si>
  <si>
    <t>They help to increase the amount of recyclable waste and reduce landfill waste, which indirectly contributes to the reduction of GHG emissions. The diffusion is the % of waste that is avoided (sent to recycling and reuse).</t>
  </si>
  <si>
    <t>Indirectly adressed through 10.1, therefore not explicitely modelled.</t>
  </si>
  <si>
    <t>Not modelled due to lack of data.</t>
  </si>
  <si>
    <t>activity_in_out</t>
  </si>
  <si>
    <t>['TRANSPORT_TO_SITE']</t>
  </si>
  <si>
    <t>['TRANSPORT_TO_SITE', 'TRANSPORT_EOL']</t>
  </si>
  <si>
    <t>['EXB', 'NEW']</t>
  </si>
  <si>
    <t>['A1-3', 'B5']</t>
  </si>
  <si>
    <t>['MATERIAL_IN', 'MATERIAL_LOSS_IN', 'PROCESS']</t>
  </si>
  <si>
    <t>9.6</t>
  </si>
  <si>
    <t>Renewable electricity</t>
  </si>
  <si>
    <t>Evolution of the electricity mix.</t>
  </si>
  <si>
    <t>['ENERGY_IN']</t>
  </si>
  <si>
    <t>['Electricity']</t>
  </si>
  <si>
    <t>techflow_name_mmg</t>
  </si>
  <si>
    <t>EPBD targets</t>
  </si>
  <si>
    <t>Renewable energy in district heating</t>
  </si>
  <si>
    <t>9.7</t>
  </si>
  <si>
    <t>Evolution of the district heating mix.</t>
  </si>
  <si>
    <t>['district']</t>
  </si>
  <si>
    <t>4.3.1</t>
  </si>
  <si>
    <t>['ind_GWP_Bio']</t>
  </si>
  <si>
    <t>['Roofs']</t>
  </si>
  <si>
    <t>4.3.2</t>
  </si>
  <si>
    <t>4.3.3</t>
  </si>
  <si>
    <t>4.3.4</t>
  </si>
  <si>
    <t xml:space="preserve">Assumption 20% full timber. Diffusion takes into account maximum potential: https://op.europa.eu/en/publication-detail/-/publication/eb9de1f4-2c93-11ec-bd8e-01aa75ed71a1/language-en </t>
  </si>
  <si>
    <t xml:space="preserve">Assumption 80% full timber. Diffusion takes into account maximum potential: https://op.europa.eu/en/publication-detail/-/publication/eb9de1f4-2c93-11ec-bd8e-01aa75ed71a1/language-en </t>
  </si>
  <si>
    <t>A share of full timber buildings is specified and a different archetype is selected for new constructions. 10% diffusion means a 10% increase in new buildings are built with timber.</t>
  </si>
  <si>
    <t>A share of hybrid timber buildings is specified and a different archetype is selected for new constructions. 10% diffusion means a 10% increase in new buildings are built with timber.</t>
  </si>
  <si>
    <t>4.1.1</t>
  </si>
  <si>
    <t>4.1.2</t>
  </si>
  <si>
    <t>4.2.1</t>
  </si>
  <si>
    <t>4.2.2</t>
  </si>
  <si>
    <t>['SFH']</t>
  </si>
  <si>
    <t>['MFH', 'ABL', 'OFF', 'TRA', 'OTH', 'HOR', 'EDU', 'HEA']</t>
  </si>
  <si>
    <t>['wool']</t>
  </si>
  <si>
    <t>['Polyurethane']</t>
  </si>
  <si>
    <t>4.3.5</t>
  </si>
  <si>
    <t>4.3.6</t>
  </si>
  <si>
    <t>4.3.7</t>
  </si>
  <si>
    <t>4.3.8</t>
  </si>
  <si>
    <t>Material choice - production of materials with low carbon energy or alternative fuels</t>
  </si>
  <si>
    <t>The use of low-carbon electricity and fuels in materials production can strongly reduce manufacturing-related emissions. A diffusion of 50% means a 50% share of renewable energy in materials production.</t>
  </si>
  <si>
    <t>No data, diffusion assumed same as 2.1 (due to the scope on demolition) but limited to 83% following JRC reports, assumed to support reuse &amp; recycling, therefore potential to completely reduce EoL emissions (up to 100%)</t>
  </si>
  <si>
    <t>Old diffusion data divided by 2 to account for the fact that half the spaces are not actually empty.</t>
  </si>
  <si>
    <t>Diffusion multipled by 20% to account for availability from https://publications.jrc.ec.europa.eu/repository/handle/JRC135470</t>
  </si>
  <si>
    <t>Diffusion assumed same as concrete. Diffusion multipled by 20% to account for availability from https://publications.jrc.ec.europa.eu/repository/handle/JRC135470</t>
  </si>
  <si>
    <t>CRS impact assumed same as brick. Diffusion multipled by 20% to account for availability from https://publications.jrc.ec.europa.eu/repository/handle/JRC135470</t>
  </si>
  <si>
    <t>CRS impact assumed same as mineral wool. Diffusion multipled by 20% to account for availability from https://publications.jrc.ec.europa.eu/repository/handle/JRC135470</t>
  </si>
  <si>
    <t>['A1-3', 'B5', 'B4']</t>
  </si>
  <si>
    <t>['A4', 'B5', 'B4']</t>
  </si>
  <si>
    <t>['A4', 'C2', 'B5', 'B4']</t>
  </si>
  <si>
    <t>Renovation rates from Eucalc and DG ENV</t>
  </si>
  <si>
    <t>Min put to 1% for scaling reasons</t>
  </si>
  <si>
    <t>Diffusion and CRS impact assumed, no data. Min put to 5% for scaling reasons</t>
  </si>
  <si>
    <t>Min put to 5% for scaling reasons</t>
  </si>
  <si>
    <t>CRS impact is the % of process emissions in the GWP. Diffusion low put same as 5.1.1 for scaling reasons.</t>
  </si>
  <si>
    <t>Data from general literature on the optimization of transport routes, as no data for only using local materials is available. Min put to 1% for scaling reasons</t>
  </si>
  <si>
    <t>Diffusion assumed, no data. Impact based on SLiCE, scaled based on maximum diffusion. Min put to 5% for scaling reasons</t>
  </si>
  <si>
    <t xml:space="preserve"> Min put to 1% for scaling reasons</t>
  </si>
  <si>
    <t>['OFF', 'TRA', 'EDU', 'HEA', 'HOR', 'OTH']</t>
  </si>
  <si>
    <t>9.8</t>
  </si>
  <si>
    <t>9.9</t>
  </si>
  <si>
    <t>9.10</t>
  </si>
  <si>
    <t>9.11</t>
  </si>
  <si>
    <t>Reduce temperature setpoints</t>
  </si>
  <si>
    <t>Users volontary reduce their temperature set point by up to 2 degrees (assumed 10% reduction in energy and GHG emissions per degree)</t>
  </si>
  <si>
    <t>No data, diffusion assumed</t>
  </si>
  <si>
    <t>['SFH', 'MFH', 'ABL', 'OFF']</t>
  </si>
  <si>
    <t>['mj_per_m2_building', 'ind_GWP_Fos']</t>
  </si>
  <si>
    <t>Assumptions for 2050 derived from Eucalc.</t>
  </si>
  <si>
    <t>Average living area of residential buildings per person is reduced by a percentage compared to the expected increase (business-as-usual). 1% diffusion therefore means a 1% reduction compared to the business-as-usual.</t>
  </si>
  <si>
    <t>Low and high adapted from IIASA data, medium interpolated</t>
  </si>
  <si>
    <t>9.12</t>
  </si>
  <si>
    <t>['heat production, natural gas, at boiler', 'heat production, light fuel oil, at boiler']</t>
  </si>
  <si>
    <t>Use of biofuels in remaining boilers</t>
  </si>
  <si>
    <t>Biofuels are used in remaining oil and gas boilers</t>
  </si>
  <si>
    <t>Just here for APOL/A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</si>
</sst>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92D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49" fontId="0" fillId="0" borderId="0" xfId="0" applyNumberFormat="1" applyAlignment="1">
      <alignment horizontal="left"/>
    </xf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1" fontId="5" fillId="0" borderId="5" xfId="0" applyNumberFormat="1" applyFont="1" applyBorder="1"/>
    <xf numFmtId="1" fontId="5" fillId="0" borderId="0" xfId="0" applyNumberFormat="1" applyFont="1"/>
    <xf numFmtId="1" fontId="5" fillId="0" borderId="6" xfId="0" applyNumberFormat="1" applyFont="1" applyBorder="1"/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5" fillId="0" borderId="14" xfId="0" applyFont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4" xfId="0" applyBorder="1"/>
    <xf numFmtId="0" fontId="5" fillId="0" borderId="14" xfId="0" applyFont="1" applyBorder="1"/>
    <xf numFmtId="0" fontId="4" fillId="8" borderId="1" xfId="0" applyFont="1" applyFill="1" applyBorder="1" applyAlignment="1">
      <alignment horizontal="center"/>
    </xf>
    <xf numFmtId="49" fontId="5" fillId="0" borderId="5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10" fontId="5" fillId="0" borderId="6" xfId="0" applyNumberFormat="1" applyFont="1" applyBorder="1" applyAlignment="1">
      <alignment vertical="center"/>
    </xf>
    <xf numFmtId="9" fontId="5" fillId="0" borderId="6" xfId="0" applyNumberFormat="1" applyFont="1" applyBorder="1" applyAlignment="1">
      <alignment vertical="center"/>
    </xf>
    <xf numFmtId="49" fontId="5" fillId="0" borderId="0" xfId="0" applyNumberFormat="1" applyFont="1"/>
    <xf numFmtId="0" fontId="5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quotePrefix="1" applyBorder="1" applyAlignment="1">
      <alignment vertical="center"/>
    </xf>
    <xf numFmtId="49" fontId="0" fillId="0" borderId="6" xfId="0" applyNumberFormat="1" applyBorder="1"/>
    <xf numFmtId="49" fontId="0" fillId="0" borderId="0" xfId="0" quotePrefix="1" applyNumberFormat="1"/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0" fillId="0" borderId="15" xfId="0" applyBorder="1" applyAlignment="1">
      <alignment vertical="center"/>
    </xf>
    <xf numFmtId="49" fontId="4" fillId="7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5" fillId="2" borderId="1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7" fillId="0" borderId="14" xfId="0" applyFont="1" applyBorder="1"/>
    <xf numFmtId="0" fontId="7" fillId="0" borderId="14" xfId="0" applyFont="1" applyBorder="1" applyAlignment="1">
      <alignment vertical="center"/>
    </xf>
    <xf numFmtId="0" fontId="8" fillId="0" borderId="14" xfId="0" applyFont="1" applyBorder="1"/>
    <xf numFmtId="0" fontId="9" fillId="0" borderId="14" xfId="0" applyFont="1" applyBorder="1"/>
    <xf numFmtId="0" fontId="10" fillId="0" borderId="14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5" xfId="0" applyBorder="1"/>
    <xf numFmtId="2" fontId="0" fillId="0" borderId="14" xfId="0" applyNumberFormat="1" applyBorder="1"/>
    <xf numFmtId="1" fontId="0" fillId="0" borderId="14" xfId="0" applyNumberFormat="1" applyBorder="1"/>
    <xf numFmtId="164" fontId="5" fillId="0" borderId="5" xfId="0" applyNumberFormat="1" applyFont="1" applyBorder="1"/>
    <xf numFmtId="164" fontId="5" fillId="0" borderId="0" xfId="0" applyNumberFormat="1" applyFont="1"/>
    <xf numFmtId="164" fontId="5" fillId="0" borderId="6" xfId="0" applyNumberFormat="1" applyFont="1" applyBorder="1"/>
    <xf numFmtId="1" fontId="5" fillId="0" borderId="14" xfId="0" applyNumberFormat="1" applyFont="1" applyBorder="1" applyAlignment="1">
      <alignment vertical="center" wrapText="1"/>
    </xf>
    <xf numFmtId="49" fontId="0" fillId="0" borderId="14" xfId="0" applyNumberFormat="1" applyBorder="1" applyAlignment="1">
      <alignment horizontal="left"/>
    </xf>
    <xf numFmtId="49" fontId="5" fillId="0" borderId="13" xfId="0" applyNumberFormat="1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49" fontId="0" fillId="0" borderId="15" xfId="0" applyNumberFormat="1" applyBorder="1" applyAlignment="1">
      <alignment horizontal="left"/>
    </xf>
    <xf numFmtId="1" fontId="5" fillId="0" borderId="5" xfId="0" applyNumberFormat="1" applyFont="1" applyBorder="1" applyAlignment="1">
      <alignment vertical="center"/>
    </xf>
    <xf numFmtId="1" fontId="5" fillId="0" borderId="0" xfId="0" applyNumberFormat="1" applyFont="1" applyAlignment="1">
      <alignment vertical="center"/>
    </xf>
    <xf numFmtId="1" fontId="5" fillId="0" borderId="6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8F34-C4C1-4B72-91EA-4753C5F749B5}">
  <sheetPr codeName="Sheet1"/>
  <dimension ref="A1:X82"/>
  <sheetViews>
    <sheetView tabSelected="1" topLeftCell="A37" zoomScale="80" zoomScaleNormal="80" workbookViewId="0">
      <pane xSplit="1" topLeftCell="M1" activePane="topRight" state="frozen"/>
      <selection pane="topRight" activeCell="X67" sqref="X67"/>
    </sheetView>
  </sheetViews>
  <sheetFormatPr defaultColWidth="8.81640625" defaultRowHeight="15" customHeight="1" x14ac:dyDescent="0.35"/>
  <cols>
    <col min="1" max="1" width="9.36328125" style="4" bestFit="1" customWidth="1"/>
    <col min="2" max="2" width="92.6328125" bestFit="1" customWidth="1"/>
    <col min="3" max="3" width="15.1796875" bestFit="1" customWidth="1"/>
    <col min="4" max="4" width="23.1796875" customWidth="1"/>
    <col min="5" max="5" width="23.6328125" style="1" bestFit="1" customWidth="1"/>
    <col min="6" max="6" width="25.81640625" style="1" bestFit="1" customWidth="1"/>
    <col min="7" max="7" width="19.1796875" style="1" customWidth="1"/>
    <col min="8" max="8" width="23.08984375" style="1" customWidth="1"/>
    <col min="9" max="9" width="14.81640625" style="1" bestFit="1" customWidth="1"/>
    <col min="10" max="10" width="13.54296875" style="1" customWidth="1"/>
    <col min="11" max="11" width="13.36328125" style="1" bestFit="1" customWidth="1"/>
    <col min="12" max="12" width="26.81640625" style="1" customWidth="1"/>
    <col min="13" max="13" width="14.81640625" bestFit="1" customWidth="1"/>
    <col min="14" max="14" width="11.36328125" bestFit="1" customWidth="1"/>
    <col min="15" max="17" width="22.54296875" style="3" bestFit="1" customWidth="1"/>
    <col min="18" max="20" width="26.81640625" style="3" bestFit="1" customWidth="1"/>
    <col min="21" max="23" width="23.1796875" style="3" bestFit="1" customWidth="1"/>
    <col min="24" max="24" width="174.54296875" bestFit="1" customWidth="1"/>
  </cols>
  <sheetData>
    <row r="1" spans="1:24" ht="15" customHeight="1" thickBot="1" x14ac:dyDescent="0.4">
      <c r="A1" s="51" t="s">
        <v>0</v>
      </c>
      <c r="B1" s="52" t="s">
        <v>1</v>
      </c>
      <c r="C1" s="52" t="s">
        <v>14</v>
      </c>
      <c r="D1" s="52" t="s">
        <v>17</v>
      </c>
      <c r="E1" s="53" t="s">
        <v>2</v>
      </c>
      <c r="F1" s="54" t="s">
        <v>123</v>
      </c>
      <c r="G1" s="54" t="s">
        <v>3</v>
      </c>
      <c r="H1" s="54" t="s">
        <v>4</v>
      </c>
      <c r="I1" s="54" t="s">
        <v>5</v>
      </c>
      <c r="J1" s="54" t="s">
        <v>16</v>
      </c>
      <c r="K1" s="54" t="s">
        <v>170</v>
      </c>
      <c r="L1" s="54" t="s">
        <v>181</v>
      </c>
      <c r="M1" s="55" t="s">
        <v>13</v>
      </c>
      <c r="N1" s="37" t="s">
        <v>6</v>
      </c>
      <c r="O1" s="25" t="s">
        <v>23</v>
      </c>
      <c r="P1" s="26" t="s">
        <v>24</v>
      </c>
      <c r="Q1" s="27" t="s">
        <v>25</v>
      </c>
      <c r="R1" s="28" t="s">
        <v>26</v>
      </c>
      <c r="S1" s="29" t="s">
        <v>27</v>
      </c>
      <c r="T1" s="30" t="s">
        <v>28</v>
      </c>
      <c r="U1" s="22" t="s">
        <v>29</v>
      </c>
      <c r="V1" s="23" t="s">
        <v>30</v>
      </c>
      <c r="W1" s="24" t="s">
        <v>31</v>
      </c>
      <c r="X1" s="68" t="s">
        <v>22</v>
      </c>
    </row>
    <row r="2" spans="1:24" ht="15" customHeight="1" x14ac:dyDescent="0.35">
      <c r="A2" s="77" t="s">
        <v>80</v>
      </c>
      <c r="B2" s="49" t="s">
        <v>32</v>
      </c>
      <c r="C2" s="49" t="s">
        <v>18</v>
      </c>
      <c r="D2" s="49" t="s">
        <v>239</v>
      </c>
      <c r="E2" s="21" t="s">
        <v>19</v>
      </c>
      <c r="F2" s="19" t="s">
        <v>19</v>
      </c>
      <c r="G2" s="19" t="s">
        <v>19</v>
      </c>
      <c r="H2" s="19" t="s">
        <v>19</v>
      </c>
      <c r="I2" s="19" t="s">
        <v>19</v>
      </c>
      <c r="J2" s="19" t="s">
        <v>19</v>
      </c>
      <c r="K2" s="19" t="s">
        <v>19</v>
      </c>
      <c r="L2" s="19" t="s">
        <v>19</v>
      </c>
      <c r="M2" s="20" t="s">
        <v>19</v>
      </c>
      <c r="N2" s="31" t="s">
        <v>19</v>
      </c>
      <c r="O2" s="21">
        <v>3</v>
      </c>
      <c r="P2" s="19">
        <v>5</v>
      </c>
      <c r="Q2" s="20">
        <v>10</v>
      </c>
      <c r="R2" s="21">
        <v>5</v>
      </c>
      <c r="S2" s="19">
        <v>10</v>
      </c>
      <c r="T2" s="20">
        <v>20</v>
      </c>
      <c r="U2" s="21">
        <v>10</v>
      </c>
      <c r="V2" s="19">
        <v>20</v>
      </c>
      <c r="W2" s="20">
        <v>30</v>
      </c>
      <c r="X2" s="35" t="s">
        <v>238</v>
      </c>
    </row>
    <row r="3" spans="1:24" ht="15" customHeight="1" x14ac:dyDescent="0.35">
      <c r="A3" s="78" t="s">
        <v>81</v>
      </c>
      <c r="B3" s="31" t="s">
        <v>33</v>
      </c>
      <c r="C3" s="32"/>
      <c r="D3" s="32"/>
      <c r="E3" s="18"/>
      <c r="F3" s="17"/>
      <c r="G3" s="17"/>
      <c r="H3" s="17"/>
      <c r="I3" s="17"/>
      <c r="J3" s="17"/>
      <c r="K3" s="17"/>
      <c r="L3" s="17"/>
      <c r="M3" s="16"/>
      <c r="N3" s="32"/>
      <c r="O3" s="18"/>
      <c r="P3" s="17"/>
      <c r="Q3" s="16"/>
      <c r="R3" s="18"/>
      <c r="S3" s="17"/>
      <c r="T3" s="16"/>
      <c r="U3" s="18"/>
      <c r="V3" s="17"/>
      <c r="W3" s="16"/>
      <c r="X3" s="35" t="s">
        <v>137</v>
      </c>
    </row>
    <row r="4" spans="1:24" ht="15" customHeight="1" x14ac:dyDescent="0.35">
      <c r="A4" s="78" t="s">
        <v>82</v>
      </c>
      <c r="B4" s="31" t="s">
        <v>20</v>
      </c>
      <c r="C4" s="31" t="s">
        <v>18</v>
      </c>
      <c r="D4" s="31" t="s">
        <v>138</v>
      </c>
      <c r="E4" s="8" t="s">
        <v>19</v>
      </c>
      <c r="F4" s="9" t="s">
        <v>19</v>
      </c>
      <c r="G4" s="9" t="s">
        <v>19</v>
      </c>
      <c r="H4" s="9" t="s">
        <v>19</v>
      </c>
      <c r="I4" s="9" t="s">
        <v>19</v>
      </c>
      <c r="J4" s="9" t="s">
        <v>19</v>
      </c>
      <c r="K4" s="9" t="s">
        <v>19</v>
      </c>
      <c r="L4" s="9" t="s">
        <v>19</v>
      </c>
      <c r="M4" s="10" t="s">
        <v>19</v>
      </c>
      <c r="N4" s="31" t="s">
        <v>19</v>
      </c>
      <c r="O4" s="8">
        <v>10</v>
      </c>
      <c r="P4" s="9">
        <v>20</v>
      </c>
      <c r="Q4" s="10">
        <v>30</v>
      </c>
      <c r="R4" s="8">
        <v>20</v>
      </c>
      <c r="S4" s="9">
        <v>40</v>
      </c>
      <c r="T4" s="10">
        <v>60</v>
      </c>
      <c r="U4" s="8">
        <v>30</v>
      </c>
      <c r="V4" s="9">
        <v>60</v>
      </c>
      <c r="W4" s="10">
        <v>90</v>
      </c>
      <c r="X4" s="35" t="s">
        <v>139</v>
      </c>
    </row>
    <row r="5" spans="1:24" ht="15" customHeight="1" x14ac:dyDescent="0.35">
      <c r="A5" s="78" t="s">
        <v>83</v>
      </c>
      <c r="B5" s="31" t="s">
        <v>21</v>
      </c>
      <c r="C5" s="31" t="s">
        <v>18</v>
      </c>
      <c r="D5" s="31" t="s">
        <v>140</v>
      </c>
      <c r="E5" s="8" t="s">
        <v>19</v>
      </c>
      <c r="F5" s="9" t="s">
        <v>19</v>
      </c>
      <c r="G5" s="9" t="s">
        <v>19</v>
      </c>
      <c r="H5" s="9" t="s">
        <v>19</v>
      </c>
      <c r="I5" s="9" t="s">
        <v>19</v>
      </c>
      <c r="J5" s="9" t="s">
        <v>19</v>
      </c>
      <c r="K5" s="9" t="s">
        <v>19</v>
      </c>
      <c r="L5" s="9" t="s">
        <v>19</v>
      </c>
      <c r="M5" s="10" t="s">
        <v>19</v>
      </c>
      <c r="N5" s="31" t="s">
        <v>19</v>
      </c>
      <c r="O5" s="8">
        <f t="shared" ref="O5:W5" si="0">O4/2</f>
        <v>5</v>
      </c>
      <c r="P5" s="9">
        <f t="shared" si="0"/>
        <v>10</v>
      </c>
      <c r="Q5" s="10">
        <f t="shared" si="0"/>
        <v>15</v>
      </c>
      <c r="R5" s="8">
        <f t="shared" si="0"/>
        <v>10</v>
      </c>
      <c r="S5" s="9">
        <f t="shared" si="0"/>
        <v>20</v>
      </c>
      <c r="T5" s="10">
        <f t="shared" si="0"/>
        <v>30</v>
      </c>
      <c r="U5" s="8">
        <f t="shared" si="0"/>
        <v>15</v>
      </c>
      <c r="V5" s="9">
        <f t="shared" si="0"/>
        <v>30</v>
      </c>
      <c r="W5" s="10">
        <f t="shared" si="0"/>
        <v>45</v>
      </c>
      <c r="X5" s="35" t="s">
        <v>212</v>
      </c>
    </row>
    <row r="6" spans="1:24" ht="15" customHeight="1" x14ac:dyDescent="0.35">
      <c r="A6" s="78" t="s">
        <v>84</v>
      </c>
      <c r="B6" s="31" t="s">
        <v>34</v>
      </c>
      <c r="C6" s="32"/>
      <c r="D6" s="32"/>
      <c r="E6" s="18"/>
      <c r="F6" s="17"/>
      <c r="G6" s="17"/>
      <c r="H6" s="17"/>
      <c r="I6" s="17"/>
      <c r="J6" s="17"/>
      <c r="K6" s="17"/>
      <c r="L6" s="17"/>
      <c r="M6" s="16"/>
      <c r="N6" s="32"/>
      <c r="O6" s="18"/>
      <c r="P6" s="17"/>
      <c r="Q6" s="16"/>
      <c r="R6" s="18"/>
      <c r="S6" s="17"/>
      <c r="T6" s="16"/>
      <c r="U6" s="18"/>
      <c r="V6" s="17"/>
      <c r="W6" s="16"/>
      <c r="X6" s="35" t="s">
        <v>141</v>
      </c>
    </row>
    <row r="7" spans="1:24" ht="14.5" x14ac:dyDescent="0.35">
      <c r="A7" s="78" t="s">
        <v>97</v>
      </c>
      <c r="B7" s="31" t="s">
        <v>10</v>
      </c>
      <c r="C7" s="31" t="s">
        <v>15</v>
      </c>
      <c r="D7" s="31" t="s">
        <v>150</v>
      </c>
      <c r="E7" s="38" t="s">
        <v>38</v>
      </c>
      <c r="F7" s="39" t="s">
        <v>7</v>
      </c>
      <c r="G7" s="39" t="s">
        <v>35</v>
      </c>
      <c r="H7" s="39" t="s">
        <v>9</v>
      </c>
      <c r="I7" s="39" t="s">
        <v>7</v>
      </c>
      <c r="J7" s="39" t="s">
        <v>12</v>
      </c>
      <c r="K7" s="39" t="s">
        <v>7</v>
      </c>
      <c r="L7" s="39" t="s">
        <v>7</v>
      </c>
      <c r="M7" s="40" t="s">
        <v>7</v>
      </c>
      <c r="N7" s="33">
        <v>33</v>
      </c>
      <c r="O7" s="8">
        <v>5</v>
      </c>
      <c r="P7" s="9">
        <v>20</v>
      </c>
      <c r="Q7" s="10">
        <v>35</v>
      </c>
      <c r="R7" s="8">
        <v>15</v>
      </c>
      <c r="S7" s="9">
        <v>35</v>
      </c>
      <c r="T7" s="10">
        <v>55</v>
      </c>
      <c r="U7" s="8">
        <v>25</v>
      </c>
      <c r="V7" s="9">
        <v>55</v>
      </c>
      <c r="W7" s="10">
        <v>85</v>
      </c>
      <c r="X7" s="35"/>
    </row>
    <row r="8" spans="1:24" ht="14.5" x14ac:dyDescent="0.35">
      <c r="A8" s="78" t="s">
        <v>98</v>
      </c>
      <c r="B8" s="31" t="s">
        <v>10</v>
      </c>
      <c r="C8" s="31" t="s">
        <v>15</v>
      </c>
      <c r="D8" s="31" t="s">
        <v>150</v>
      </c>
      <c r="E8" s="38" t="s">
        <v>38</v>
      </c>
      <c r="F8" s="39" t="s">
        <v>7</v>
      </c>
      <c r="G8" s="39" t="s">
        <v>36</v>
      </c>
      <c r="H8" s="39" t="s">
        <v>9</v>
      </c>
      <c r="I8" s="39" t="s">
        <v>7</v>
      </c>
      <c r="J8" s="39" t="s">
        <v>12</v>
      </c>
      <c r="K8" s="39" t="s">
        <v>7</v>
      </c>
      <c r="L8" s="39" t="s">
        <v>7</v>
      </c>
      <c r="M8" s="40" t="s">
        <v>7</v>
      </c>
      <c r="N8" s="33">
        <v>21</v>
      </c>
      <c r="O8" s="8">
        <v>5</v>
      </c>
      <c r="P8" s="9">
        <v>20</v>
      </c>
      <c r="Q8" s="10">
        <v>35</v>
      </c>
      <c r="R8" s="8">
        <v>15</v>
      </c>
      <c r="S8" s="9">
        <v>35</v>
      </c>
      <c r="T8" s="10">
        <v>55</v>
      </c>
      <c r="U8" s="8">
        <v>25</v>
      </c>
      <c r="V8" s="9">
        <v>55</v>
      </c>
      <c r="W8" s="10">
        <v>85</v>
      </c>
      <c r="X8" s="35"/>
    </row>
    <row r="9" spans="1:24" ht="14.5" x14ac:dyDescent="0.35">
      <c r="A9" s="78" t="s">
        <v>99</v>
      </c>
      <c r="B9" s="31" t="s">
        <v>10</v>
      </c>
      <c r="C9" s="31" t="s">
        <v>15</v>
      </c>
      <c r="D9" s="31" t="s">
        <v>150</v>
      </c>
      <c r="E9" s="38" t="s">
        <v>38</v>
      </c>
      <c r="F9" s="39" t="s">
        <v>7</v>
      </c>
      <c r="G9" s="39" t="s">
        <v>125</v>
      </c>
      <c r="H9" s="39" t="s">
        <v>9</v>
      </c>
      <c r="I9" s="39" t="s">
        <v>7</v>
      </c>
      <c r="J9" s="39" t="s">
        <v>12</v>
      </c>
      <c r="K9" s="39" t="s">
        <v>7</v>
      </c>
      <c r="L9" s="39" t="s">
        <v>7</v>
      </c>
      <c r="M9" s="40" t="s">
        <v>7</v>
      </c>
      <c r="N9" s="33">
        <v>8</v>
      </c>
      <c r="O9" s="8">
        <v>5</v>
      </c>
      <c r="P9" s="9">
        <v>20</v>
      </c>
      <c r="Q9" s="10">
        <v>35</v>
      </c>
      <c r="R9" s="8">
        <v>15</v>
      </c>
      <c r="S9" s="9">
        <v>35</v>
      </c>
      <c r="T9" s="10">
        <v>55</v>
      </c>
      <c r="U9" s="8">
        <v>25</v>
      </c>
      <c r="V9" s="9">
        <v>55</v>
      </c>
      <c r="W9" s="10">
        <v>85</v>
      </c>
      <c r="X9" s="35"/>
    </row>
    <row r="10" spans="1:24" ht="14.5" x14ac:dyDescent="0.35">
      <c r="A10" s="78" t="s">
        <v>100</v>
      </c>
      <c r="B10" s="31" t="s">
        <v>10</v>
      </c>
      <c r="C10" s="31" t="s">
        <v>15</v>
      </c>
      <c r="D10" s="31" t="s">
        <v>150</v>
      </c>
      <c r="E10" s="38" t="s">
        <v>38</v>
      </c>
      <c r="F10" s="39" t="s">
        <v>7</v>
      </c>
      <c r="G10" s="39" t="s">
        <v>126</v>
      </c>
      <c r="H10" s="39" t="s">
        <v>8</v>
      </c>
      <c r="I10" s="39" t="s">
        <v>7</v>
      </c>
      <c r="J10" s="39" t="s">
        <v>12</v>
      </c>
      <c r="K10" s="39" t="s">
        <v>7</v>
      </c>
      <c r="L10" s="39" t="s">
        <v>7</v>
      </c>
      <c r="M10" s="41" t="s">
        <v>7</v>
      </c>
      <c r="N10" s="33">
        <v>25</v>
      </c>
      <c r="O10" s="8">
        <v>5</v>
      </c>
      <c r="P10" s="9">
        <v>20</v>
      </c>
      <c r="Q10" s="10">
        <v>35</v>
      </c>
      <c r="R10" s="8">
        <v>15</v>
      </c>
      <c r="S10" s="9">
        <v>35</v>
      </c>
      <c r="T10" s="10">
        <v>55</v>
      </c>
      <c r="U10" s="8">
        <v>25</v>
      </c>
      <c r="V10" s="9">
        <v>55</v>
      </c>
      <c r="W10" s="10">
        <v>85</v>
      </c>
      <c r="X10" s="35"/>
    </row>
    <row r="11" spans="1:24" ht="14.5" x14ac:dyDescent="0.35">
      <c r="A11" s="78" t="s">
        <v>101</v>
      </c>
      <c r="B11" s="31" t="s">
        <v>10</v>
      </c>
      <c r="C11" s="31" t="s">
        <v>15</v>
      </c>
      <c r="D11" s="31" t="s">
        <v>150</v>
      </c>
      <c r="E11" s="38" t="s">
        <v>38</v>
      </c>
      <c r="F11" s="39" t="s">
        <v>7</v>
      </c>
      <c r="G11" s="39" t="s">
        <v>126</v>
      </c>
      <c r="H11" s="39" t="s">
        <v>11</v>
      </c>
      <c r="I11" s="39" t="s">
        <v>7</v>
      </c>
      <c r="J11" s="39" t="s">
        <v>12</v>
      </c>
      <c r="K11" s="39" t="s">
        <v>7</v>
      </c>
      <c r="L11" s="1" t="s">
        <v>7</v>
      </c>
      <c r="M11" s="41" t="s">
        <v>7</v>
      </c>
      <c r="N11" s="33">
        <v>13</v>
      </c>
      <c r="O11" s="8">
        <v>5</v>
      </c>
      <c r="P11" s="9">
        <v>20</v>
      </c>
      <c r="Q11" s="10">
        <v>35</v>
      </c>
      <c r="R11" s="8">
        <v>15</v>
      </c>
      <c r="S11" s="9">
        <v>35</v>
      </c>
      <c r="T11" s="10">
        <v>55</v>
      </c>
      <c r="U11" s="8">
        <v>25</v>
      </c>
      <c r="V11" s="9">
        <v>55</v>
      </c>
      <c r="W11" s="10">
        <v>85</v>
      </c>
      <c r="X11" s="35"/>
    </row>
    <row r="12" spans="1:24" ht="15" customHeight="1" x14ac:dyDescent="0.35">
      <c r="A12" s="79" t="s">
        <v>85</v>
      </c>
      <c r="B12" s="34" t="s">
        <v>37</v>
      </c>
      <c r="C12" s="34" t="s">
        <v>15</v>
      </c>
      <c r="D12" s="31" t="s">
        <v>151</v>
      </c>
      <c r="E12" s="1" t="s">
        <v>7</v>
      </c>
      <c r="F12" s="39" t="s">
        <v>79</v>
      </c>
      <c r="G12" s="39" t="s">
        <v>7</v>
      </c>
      <c r="H12" s="39" t="s">
        <v>9</v>
      </c>
      <c r="I12" s="42" t="s">
        <v>217</v>
      </c>
      <c r="J12" s="39" t="s">
        <v>39</v>
      </c>
      <c r="K12" s="1" t="s">
        <v>175</v>
      </c>
      <c r="L12" s="1" t="s">
        <v>7</v>
      </c>
      <c r="M12" s="43" t="s">
        <v>60</v>
      </c>
      <c r="N12" s="75">
        <v>16</v>
      </c>
      <c r="O12" s="8">
        <v>10</v>
      </c>
      <c r="P12" s="9">
        <v>12</v>
      </c>
      <c r="Q12" s="10">
        <v>14</v>
      </c>
      <c r="R12" s="5">
        <v>20</v>
      </c>
      <c r="S12" s="6">
        <v>30</v>
      </c>
      <c r="T12" s="7">
        <v>40</v>
      </c>
      <c r="U12" s="5">
        <v>50</v>
      </c>
      <c r="V12" s="6">
        <v>70</v>
      </c>
      <c r="W12" s="7">
        <v>90</v>
      </c>
      <c r="X12" s="36"/>
    </row>
    <row r="13" spans="1:24" ht="15" customHeight="1" x14ac:dyDescent="0.35">
      <c r="A13" s="79" t="s">
        <v>197</v>
      </c>
      <c r="B13" s="34" t="s">
        <v>40</v>
      </c>
      <c r="C13" s="34" t="s">
        <v>18</v>
      </c>
      <c r="D13" s="36" t="s">
        <v>195</v>
      </c>
      <c r="E13" s="8" t="s">
        <v>135</v>
      </c>
      <c r="F13" s="9" t="s">
        <v>201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10" t="s">
        <v>19</v>
      </c>
      <c r="N13" s="31" t="s">
        <v>19</v>
      </c>
      <c r="O13" s="72">
        <f>Q13/2</f>
        <v>1.6350000000000002</v>
      </c>
      <c r="P13" s="73">
        <f>(O13+Q13)/2</f>
        <v>2.4525000000000006</v>
      </c>
      <c r="Q13" s="74">
        <f>1.09*0.2*15</f>
        <v>3.2700000000000005</v>
      </c>
      <c r="R13" s="72">
        <f>T13/2</f>
        <v>3.6960000000000006</v>
      </c>
      <c r="S13" s="73">
        <f>(R13+T13)/2</f>
        <v>5.5440000000000005</v>
      </c>
      <c r="T13" s="74">
        <f>1.12*0.2*33</f>
        <v>7.3920000000000012</v>
      </c>
      <c r="U13" s="72">
        <f>W13/2</f>
        <v>5.75</v>
      </c>
      <c r="V13" s="73">
        <f>(U13+W13)/2</f>
        <v>8.625</v>
      </c>
      <c r="W13" s="7">
        <f>1.15*0.2*50</f>
        <v>11.5</v>
      </c>
      <c r="X13" s="35" t="s">
        <v>193</v>
      </c>
    </row>
    <row r="14" spans="1:24" ht="15" customHeight="1" x14ac:dyDescent="0.35">
      <c r="A14" s="79" t="s">
        <v>198</v>
      </c>
      <c r="B14" s="34" t="s">
        <v>40</v>
      </c>
      <c r="C14" s="34" t="s">
        <v>18</v>
      </c>
      <c r="D14" s="36" t="s">
        <v>195</v>
      </c>
      <c r="E14" s="8" t="s">
        <v>135</v>
      </c>
      <c r="F14" s="39" t="s">
        <v>202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10" t="s">
        <v>19</v>
      </c>
      <c r="N14" s="31" t="s">
        <v>19</v>
      </c>
      <c r="O14" s="72">
        <f>Q14/2</f>
        <v>1.6350000000000002</v>
      </c>
      <c r="P14" s="73">
        <f>(O14+Q14)/2</f>
        <v>2.4525000000000006</v>
      </c>
      <c r="Q14" s="74">
        <f>1.09*0.2*15</f>
        <v>3.2700000000000005</v>
      </c>
      <c r="R14" s="5">
        <f>T14/2</f>
        <v>1.6800000000000002</v>
      </c>
      <c r="S14" s="6">
        <f>(R14+T14)/2</f>
        <v>2.5200000000000005</v>
      </c>
      <c r="T14" s="74">
        <f>1.12*0.2*15</f>
        <v>3.3600000000000003</v>
      </c>
      <c r="U14" s="72">
        <f>W14/2</f>
        <v>1.7249999999999999</v>
      </c>
      <c r="V14" s="73">
        <f>(U14+W14)/2</f>
        <v>2.5874999999999999</v>
      </c>
      <c r="W14" s="74">
        <f>1.15*0.2*15</f>
        <v>3.4499999999999997</v>
      </c>
      <c r="X14" s="35" t="s">
        <v>193</v>
      </c>
    </row>
    <row r="15" spans="1:24" ht="15" customHeight="1" x14ac:dyDescent="0.35">
      <c r="A15" s="79" t="s">
        <v>199</v>
      </c>
      <c r="B15" s="35" t="s">
        <v>41</v>
      </c>
      <c r="C15" s="34" t="s">
        <v>18</v>
      </c>
      <c r="D15" s="35" t="s">
        <v>196</v>
      </c>
      <c r="E15" s="8" t="s">
        <v>135</v>
      </c>
      <c r="F15" s="9" t="s">
        <v>201</v>
      </c>
      <c r="G15" s="2" t="s">
        <v>19</v>
      </c>
      <c r="H15" s="2" t="s">
        <v>19</v>
      </c>
      <c r="I15" s="2" t="s">
        <v>19</v>
      </c>
      <c r="J15" s="2" t="s">
        <v>19</v>
      </c>
      <c r="K15" s="9" t="s">
        <v>19</v>
      </c>
      <c r="L15" s="9" t="s">
        <v>19</v>
      </c>
      <c r="M15" s="44" t="s">
        <v>19</v>
      </c>
      <c r="N15" s="34" t="s">
        <v>19</v>
      </c>
      <c r="O15" s="72">
        <f>Q15/2</f>
        <v>6.5400000000000009</v>
      </c>
      <c r="P15" s="73">
        <f>(O15+Q15)/2</f>
        <v>9.8100000000000023</v>
      </c>
      <c r="Q15" s="74">
        <f>1.09*0.8*15</f>
        <v>13.080000000000002</v>
      </c>
      <c r="R15" s="72">
        <f>T15/2</f>
        <v>14.784000000000002</v>
      </c>
      <c r="S15" s="73">
        <f>(R15+T15)/2</f>
        <v>22.176000000000002</v>
      </c>
      <c r="T15" s="74">
        <f>1.12*0.8*33</f>
        <v>29.568000000000005</v>
      </c>
      <c r="U15" s="5">
        <f>W15/2</f>
        <v>23</v>
      </c>
      <c r="V15" s="6">
        <f>(U15+W15)/2</f>
        <v>34.5</v>
      </c>
      <c r="W15" s="7">
        <f>1.15*0.8*50</f>
        <v>46</v>
      </c>
      <c r="X15" s="35" t="s">
        <v>194</v>
      </c>
    </row>
    <row r="16" spans="1:24" ht="15" customHeight="1" x14ac:dyDescent="0.35">
      <c r="A16" s="79" t="s">
        <v>200</v>
      </c>
      <c r="B16" s="35" t="s">
        <v>41</v>
      </c>
      <c r="C16" s="34" t="s">
        <v>18</v>
      </c>
      <c r="D16" s="35" t="s">
        <v>196</v>
      </c>
      <c r="E16" s="8" t="s">
        <v>135</v>
      </c>
      <c r="F16" s="39" t="s">
        <v>202</v>
      </c>
      <c r="G16" s="2" t="s">
        <v>19</v>
      </c>
      <c r="H16" s="2" t="s">
        <v>19</v>
      </c>
      <c r="I16" s="2" t="s">
        <v>19</v>
      </c>
      <c r="J16" s="2" t="s">
        <v>19</v>
      </c>
      <c r="K16" s="9" t="s">
        <v>19</v>
      </c>
      <c r="L16" s="9" t="s">
        <v>19</v>
      </c>
      <c r="M16" s="44" t="s">
        <v>19</v>
      </c>
      <c r="N16" s="34" t="s">
        <v>19</v>
      </c>
      <c r="O16" s="72">
        <f>Q16/2</f>
        <v>6.5400000000000009</v>
      </c>
      <c r="P16" s="73">
        <f>(O16+Q16)/2</f>
        <v>9.8100000000000023</v>
      </c>
      <c r="Q16" s="74">
        <f>1.09*0.8*15</f>
        <v>13.080000000000002</v>
      </c>
      <c r="R16" s="72">
        <f>T16/2</f>
        <v>6.7200000000000006</v>
      </c>
      <c r="S16" s="73">
        <f>(R16+T16)/2</f>
        <v>10.080000000000002</v>
      </c>
      <c r="T16" s="74">
        <f>1.12*0.8*15</f>
        <v>13.440000000000001</v>
      </c>
      <c r="U16" s="5">
        <f>W16/2</f>
        <v>6.8999999999999995</v>
      </c>
      <c r="V16" s="73">
        <f>(U16+W16)/2</f>
        <v>10.35</v>
      </c>
      <c r="W16" s="7">
        <f>1.15*0.8*15</f>
        <v>13.799999999999999</v>
      </c>
      <c r="X16" s="35" t="s">
        <v>194</v>
      </c>
    </row>
    <row r="17" spans="1:24" ht="15" customHeight="1" x14ac:dyDescent="0.35">
      <c r="A17" s="79" t="s">
        <v>187</v>
      </c>
      <c r="B17" s="35" t="s">
        <v>42</v>
      </c>
      <c r="C17" s="34" t="s">
        <v>15</v>
      </c>
      <c r="D17" s="35" t="s">
        <v>152</v>
      </c>
      <c r="E17" s="38" t="s">
        <v>38</v>
      </c>
      <c r="F17" s="1" t="s">
        <v>7</v>
      </c>
      <c r="G17" s="39" t="s">
        <v>35</v>
      </c>
      <c r="H17" s="2" t="s">
        <v>75</v>
      </c>
      <c r="I17" s="42" t="s">
        <v>174</v>
      </c>
      <c r="J17" s="1" t="s">
        <v>39</v>
      </c>
      <c r="K17" s="1" t="s">
        <v>175</v>
      </c>
      <c r="L17" s="1" t="s">
        <v>203</v>
      </c>
      <c r="M17" s="45" t="s">
        <v>60</v>
      </c>
      <c r="N17" s="70">
        <f>71.84</f>
        <v>71.84</v>
      </c>
      <c r="O17" s="5">
        <v>5</v>
      </c>
      <c r="P17" s="6">
        <v>10</v>
      </c>
      <c r="Q17" s="7">
        <v>20</v>
      </c>
      <c r="R17" s="5">
        <v>30</v>
      </c>
      <c r="S17" s="6">
        <v>40</v>
      </c>
      <c r="T17" s="7">
        <v>50</v>
      </c>
      <c r="U17" s="5">
        <v>60</v>
      </c>
      <c r="V17" s="6">
        <v>70</v>
      </c>
      <c r="W17" s="7">
        <v>80</v>
      </c>
      <c r="X17" s="35" t="s">
        <v>226</v>
      </c>
    </row>
    <row r="18" spans="1:24" ht="15" customHeight="1" x14ac:dyDescent="0.35">
      <c r="A18" s="79" t="s">
        <v>190</v>
      </c>
      <c r="B18" s="35" t="s">
        <v>42</v>
      </c>
      <c r="C18" s="34" t="s">
        <v>15</v>
      </c>
      <c r="D18" s="35" t="s">
        <v>152</v>
      </c>
      <c r="E18" s="38" t="s">
        <v>38</v>
      </c>
      <c r="F18" s="1" t="s">
        <v>7</v>
      </c>
      <c r="G18" s="39" t="s">
        <v>35</v>
      </c>
      <c r="H18" s="2" t="s">
        <v>75</v>
      </c>
      <c r="I18" s="42" t="s">
        <v>174</v>
      </c>
      <c r="J18" s="1" t="s">
        <v>39</v>
      </c>
      <c r="K18" s="1" t="s">
        <v>175</v>
      </c>
      <c r="L18" s="1" t="s">
        <v>203</v>
      </c>
      <c r="M18" s="45" t="s">
        <v>188</v>
      </c>
      <c r="N18" s="71">
        <f>35199</f>
        <v>35199</v>
      </c>
      <c r="O18" s="5">
        <v>5</v>
      </c>
      <c r="P18" s="6">
        <v>10</v>
      </c>
      <c r="Q18" s="7">
        <v>20</v>
      </c>
      <c r="R18" s="5">
        <v>30</v>
      </c>
      <c r="S18" s="6">
        <v>40</v>
      </c>
      <c r="T18" s="7">
        <v>50</v>
      </c>
      <c r="U18" s="5">
        <v>60</v>
      </c>
      <c r="V18" s="6">
        <v>70</v>
      </c>
      <c r="W18" s="7">
        <v>80</v>
      </c>
      <c r="X18" s="35" t="s">
        <v>226</v>
      </c>
    </row>
    <row r="19" spans="1:24" ht="15" customHeight="1" x14ac:dyDescent="0.35">
      <c r="A19" s="79" t="s">
        <v>191</v>
      </c>
      <c r="B19" s="35" t="s">
        <v>42</v>
      </c>
      <c r="C19" s="34" t="s">
        <v>15</v>
      </c>
      <c r="D19" s="35" t="s">
        <v>152</v>
      </c>
      <c r="E19" s="38" t="s">
        <v>38</v>
      </c>
      <c r="F19" s="1" t="s">
        <v>7</v>
      </c>
      <c r="G19" s="39" t="s">
        <v>35</v>
      </c>
      <c r="H19" s="2" t="s">
        <v>75</v>
      </c>
      <c r="I19" s="42" t="s">
        <v>174</v>
      </c>
      <c r="J19" s="1" t="s">
        <v>39</v>
      </c>
      <c r="K19" s="1" t="s">
        <v>175</v>
      </c>
      <c r="L19" s="1" t="s">
        <v>204</v>
      </c>
      <c r="M19" s="45" t="s">
        <v>60</v>
      </c>
      <c r="N19" s="70">
        <v>81.56</v>
      </c>
      <c r="O19" s="5">
        <v>5</v>
      </c>
      <c r="P19" s="6">
        <v>10</v>
      </c>
      <c r="Q19" s="7">
        <v>20</v>
      </c>
      <c r="R19" s="5">
        <v>30</v>
      </c>
      <c r="S19" s="6">
        <v>40</v>
      </c>
      <c r="T19" s="7">
        <v>50</v>
      </c>
      <c r="U19" s="5">
        <v>60</v>
      </c>
      <c r="V19" s="6">
        <v>70</v>
      </c>
      <c r="W19" s="7">
        <v>80</v>
      </c>
      <c r="X19" s="35" t="s">
        <v>226</v>
      </c>
    </row>
    <row r="20" spans="1:24" ht="15" customHeight="1" x14ac:dyDescent="0.35">
      <c r="A20" s="79" t="s">
        <v>192</v>
      </c>
      <c r="B20" s="35" t="s">
        <v>42</v>
      </c>
      <c r="C20" s="34" t="s">
        <v>15</v>
      </c>
      <c r="D20" s="35" t="s">
        <v>152</v>
      </c>
      <c r="E20" s="38" t="s">
        <v>38</v>
      </c>
      <c r="F20" s="1" t="s">
        <v>7</v>
      </c>
      <c r="G20" s="39" t="s">
        <v>35</v>
      </c>
      <c r="H20" s="2" t="s">
        <v>75</v>
      </c>
      <c r="I20" s="42" t="s">
        <v>174</v>
      </c>
      <c r="J20" s="1" t="s">
        <v>39</v>
      </c>
      <c r="K20" s="1" t="s">
        <v>175</v>
      </c>
      <c r="L20" s="1" t="s">
        <v>204</v>
      </c>
      <c r="M20" s="45" t="s">
        <v>188</v>
      </c>
      <c r="N20" s="71">
        <v>52546</v>
      </c>
      <c r="O20" s="5">
        <v>5</v>
      </c>
      <c r="P20" s="6">
        <v>10</v>
      </c>
      <c r="Q20" s="7">
        <v>20</v>
      </c>
      <c r="R20" s="5">
        <v>30</v>
      </c>
      <c r="S20" s="6">
        <v>40</v>
      </c>
      <c r="T20" s="7">
        <v>50</v>
      </c>
      <c r="U20" s="5">
        <v>60</v>
      </c>
      <c r="V20" s="6">
        <v>70</v>
      </c>
      <c r="W20" s="7">
        <v>80</v>
      </c>
      <c r="X20" s="35" t="s">
        <v>226</v>
      </c>
    </row>
    <row r="21" spans="1:24" ht="15" customHeight="1" x14ac:dyDescent="0.35">
      <c r="A21" s="79" t="s">
        <v>205</v>
      </c>
      <c r="B21" s="35" t="s">
        <v>42</v>
      </c>
      <c r="C21" s="34" t="s">
        <v>15</v>
      </c>
      <c r="D21" s="35" t="s">
        <v>152</v>
      </c>
      <c r="E21" s="38" t="s">
        <v>38</v>
      </c>
      <c r="F21" s="1" t="s">
        <v>7</v>
      </c>
      <c r="G21" s="39" t="s">
        <v>189</v>
      </c>
      <c r="H21" s="2" t="s">
        <v>75</v>
      </c>
      <c r="I21" s="42" t="s">
        <v>174</v>
      </c>
      <c r="J21" s="1" t="s">
        <v>39</v>
      </c>
      <c r="K21" s="1" t="s">
        <v>175</v>
      </c>
      <c r="L21" s="1" t="s">
        <v>203</v>
      </c>
      <c r="M21" s="45" t="s">
        <v>60</v>
      </c>
      <c r="N21" s="70">
        <f>-76.88</f>
        <v>-76.88</v>
      </c>
      <c r="O21" s="5">
        <v>5</v>
      </c>
      <c r="P21" s="6">
        <v>10</v>
      </c>
      <c r="Q21" s="7">
        <v>20</v>
      </c>
      <c r="R21" s="5">
        <v>30</v>
      </c>
      <c r="S21" s="6">
        <v>40</v>
      </c>
      <c r="T21" s="7">
        <v>50</v>
      </c>
      <c r="U21" s="5">
        <v>60</v>
      </c>
      <c r="V21" s="6">
        <v>70</v>
      </c>
      <c r="W21" s="7">
        <v>80</v>
      </c>
      <c r="X21" s="35" t="s">
        <v>226</v>
      </c>
    </row>
    <row r="22" spans="1:24" ht="15" customHeight="1" x14ac:dyDescent="0.35">
      <c r="A22" s="79" t="s">
        <v>206</v>
      </c>
      <c r="B22" s="35" t="s">
        <v>42</v>
      </c>
      <c r="C22" s="34" t="s">
        <v>15</v>
      </c>
      <c r="D22" s="35" t="s">
        <v>152</v>
      </c>
      <c r="E22" s="38" t="s">
        <v>38</v>
      </c>
      <c r="F22" s="1" t="s">
        <v>7</v>
      </c>
      <c r="G22" s="39" t="s">
        <v>189</v>
      </c>
      <c r="H22" s="2" t="s">
        <v>75</v>
      </c>
      <c r="I22" s="42" t="s">
        <v>174</v>
      </c>
      <c r="J22" s="1" t="s">
        <v>39</v>
      </c>
      <c r="K22" s="1" t="s">
        <v>175</v>
      </c>
      <c r="L22" s="1" t="s">
        <v>203</v>
      </c>
      <c r="M22" s="45" t="s">
        <v>188</v>
      </c>
      <c r="N22" s="71">
        <f>21994</f>
        <v>21994</v>
      </c>
      <c r="O22" s="5">
        <v>5</v>
      </c>
      <c r="P22" s="6">
        <v>10</v>
      </c>
      <c r="Q22" s="7">
        <v>20</v>
      </c>
      <c r="R22" s="5">
        <v>30</v>
      </c>
      <c r="S22" s="6">
        <v>40</v>
      </c>
      <c r="T22" s="7">
        <v>50</v>
      </c>
      <c r="U22" s="5">
        <v>60</v>
      </c>
      <c r="V22" s="6">
        <v>70</v>
      </c>
      <c r="W22" s="7">
        <v>80</v>
      </c>
      <c r="X22" s="35" t="s">
        <v>226</v>
      </c>
    </row>
    <row r="23" spans="1:24" ht="15" customHeight="1" x14ac:dyDescent="0.35">
      <c r="A23" s="79" t="s">
        <v>207</v>
      </c>
      <c r="B23" s="35" t="s">
        <v>42</v>
      </c>
      <c r="C23" s="34" t="s">
        <v>15</v>
      </c>
      <c r="D23" s="35" t="s">
        <v>152</v>
      </c>
      <c r="E23" s="38" t="s">
        <v>38</v>
      </c>
      <c r="F23" s="1" t="s">
        <v>7</v>
      </c>
      <c r="G23" s="39" t="s">
        <v>189</v>
      </c>
      <c r="H23" s="2" t="s">
        <v>75</v>
      </c>
      <c r="I23" s="42" t="s">
        <v>174</v>
      </c>
      <c r="J23" s="1" t="s">
        <v>39</v>
      </c>
      <c r="K23" s="1" t="s">
        <v>175</v>
      </c>
      <c r="L23" s="1" t="s">
        <v>204</v>
      </c>
      <c r="M23" s="45" t="s">
        <v>60</v>
      </c>
      <c r="N23" s="70">
        <f>-17.89</f>
        <v>-17.89</v>
      </c>
      <c r="O23" s="5">
        <v>5</v>
      </c>
      <c r="P23" s="6">
        <v>10</v>
      </c>
      <c r="Q23" s="7">
        <v>20</v>
      </c>
      <c r="R23" s="5">
        <v>30</v>
      </c>
      <c r="S23" s="6">
        <v>40</v>
      </c>
      <c r="T23" s="7">
        <v>50</v>
      </c>
      <c r="U23" s="5">
        <v>60</v>
      </c>
      <c r="V23" s="6">
        <v>70</v>
      </c>
      <c r="W23" s="7">
        <v>80</v>
      </c>
      <c r="X23" s="35" t="s">
        <v>226</v>
      </c>
    </row>
    <row r="24" spans="1:24" ht="15" customHeight="1" x14ac:dyDescent="0.35">
      <c r="A24" s="79" t="s">
        <v>208</v>
      </c>
      <c r="B24" s="35" t="s">
        <v>42</v>
      </c>
      <c r="C24" s="34" t="s">
        <v>15</v>
      </c>
      <c r="D24" s="35" t="s">
        <v>152</v>
      </c>
      <c r="E24" s="38" t="s">
        <v>38</v>
      </c>
      <c r="F24" s="1" t="s">
        <v>7</v>
      </c>
      <c r="G24" s="39" t="s">
        <v>189</v>
      </c>
      <c r="H24" s="2" t="s">
        <v>75</v>
      </c>
      <c r="I24" s="42" t="s">
        <v>174</v>
      </c>
      <c r="J24" s="1" t="s">
        <v>39</v>
      </c>
      <c r="K24" s="1" t="s">
        <v>175</v>
      </c>
      <c r="L24" s="1" t="s">
        <v>204</v>
      </c>
      <c r="M24" s="45" t="s">
        <v>188</v>
      </c>
      <c r="N24" s="71">
        <f>38948</f>
        <v>38948</v>
      </c>
      <c r="O24" s="5">
        <v>5</v>
      </c>
      <c r="P24" s="6">
        <v>10</v>
      </c>
      <c r="Q24" s="7">
        <v>20</v>
      </c>
      <c r="R24" s="5">
        <v>30</v>
      </c>
      <c r="S24" s="6">
        <v>40</v>
      </c>
      <c r="T24" s="7">
        <v>50</v>
      </c>
      <c r="U24" s="5">
        <v>60</v>
      </c>
      <c r="V24" s="6">
        <v>70</v>
      </c>
      <c r="W24" s="7">
        <v>80</v>
      </c>
      <c r="X24" s="35" t="s">
        <v>226</v>
      </c>
    </row>
    <row r="25" spans="1:24" ht="15" customHeight="1" x14ac:dyDescent="0.35">
      <c r="A25" s="76" t="s">
        <v>43</v>
      </c>
      <c r="B25" s="35" t="s">
        <v>44</v>
      </c>
      <c r="C25" s="34" t="s">
        <v>15</v>
      </c>
      <c r="D25" s="35" t="s">
        <v>153</v>
      </c>
      <c r="E25" s="1" t="s">
        <v>7</v>
      </c>
      <c r="F25" s="2" t="s">
        <v>7</v>
      </c>
      <c r="G25" s="39" t="s">
        <v>7</v>
      </c>
      <c r="H25" s="2" t="s">
        <v>9</v>
      </c>
      <c r="I25" s="42" t="s">
        <v>217</v>
      </c>
      <c r="J25" s="1" t="s">
        <v>39</v>
      </c>
      <c r="K25" s="1" t="s">
        <v>175</v>
      </c>
      <c r="L25" s="1" t="s">
        <v>7</v>
      </c>
      <c r="M25" s="45" t="s">
        <v>60</v>
      </c>
      <c r="N25" s="34">
        <v>41</v>
      </c>
      <c r="O25" s="5">
        <v>1</v>
      </c>
      <c r="P25" s="6">
        <v>2</v>
      </c>
      <c r="Q25" s="7">
        <v>3</v>
      </c>
      <c r="R25" s="5">
        <v>1</v>
      </c>
      <c r="S25" s="6">
        <v>3</v>
      </c>
      <c r="T25" s="7">
        <v>5</v>
      </c>
      <c r="U25" s="5">
        <v>3</v>
      </c>
      <c r="V25" s="6">
        <v>7</v>
      </c>
      <c r="W25" s="7">
        <v>10</v>
      </c>
      <c r="X25" s="35" t="s">
        <v>221</v>
      </c>
    </row>
    <row r="26" spans="1:24" ht="15" customHeight="1" x14ac:dyDescent="0.35">
      <c r="A26" s="76" t="s">
        <v>45</v>
      </c>
      <c r="B26" s="35" t="s">
        <v>46</v>
      </c>
      <c r="C26" s="34" t="s">
        <v>15</v>
      </c>
      <c r="D26" s="35" t="s">
        <v>154</v>
      </c>
      <c r="E26" s="1" t="s">
        <v>7</v>
      </c>
      <c r="F26" s="1" t="s">
        <v>7</v>
      </c>
      <c r="G26" s="39" t="s">
        <v>7</v>
      </c>
      <c r="H26" s="2" t="s">
        <v>9</v>
      </c>
      <c r="I26" s="42" t="s">
        <v>217</v>
      </c>
      <c r="J26" s="1" t="s">
        <v>39</v>
      </c>
      <c r="K26" s="1" t="s">
        <v>175</v>
      </c>
      <c r="L26" s="1" t="s">
        <v>7</v>
      </c>
      <c r="M26" s="45" t="s">
        <v>60</v>
      </c>
      <c r="N26" s="34">
        <v>40</v>
      </c>
      <c r="O26" s="11">
        <f>(75-72)/(75-50)*100</f>
        <v>12</v>
      </c>
      <c r="P26" s="12">
        <f>(75-71)/(75-50)*100</f>
        <v>16</v>
      </c>
      <c r="Q26" s="13">
        <f>(75-70)/(75-50)*100</f>
        <v>20</v>
      </c>
      <c r="R26" s="11">
        <f>(75-70)/(75-50)*100</f>
        <v>20</v>
      </c>
      <c r="S26" s="12">
        <f>(75-65)/(75-50)*100</f>
        <v>40</v>
      </c>
      <c r="T26" s="13">
        <f>(75-60)/(75-50)*100</f>
        <v>60</v>
      </c>
      <c r="U26" s="11">
        <f>(75-70)/(75-50)*100</f>
        <v>20</v>
      </c>
      <c r="V26" s="12">
        <f>(75-60)/(75-50)*100</f>
        <v>60</v>
      </c>
      <c r="W26" s="13">
        <f>(75-50)/(75-50)*100</f>
        <v>100</v>
      </c>
      <c r="X26" s="35"/>
    </row>
    <row r="27" spans="1:24" ht="15" customHeight="1" x14ac:dyDescent="0.35">
      <c r="A27" s="76" t="s">
        <v>47</v>
      </c>
      <c r="B27" s="35" t="s">
        <v>48</v>
      </c>
      <c r="C27" s="34" t="s">
        <v>15</v>
      </c>
      <c r="D27" s="35" t="s">
        <v>155</v>
      </c>
      <c r="E27" s="1" t="s">
        <v>7</v>
      </c>
      <c r="F27" s="1" t="s">
        <v>7</v>
      </c>
      <c r="G27" s="2" t="s">
        <v>7</v>
      </c>
      <c r="H27" s="2" t="s">
        <v>75</v>
      </c>
      <c r="I27" s="42" t="s">
        <v>217</v>
      </c>
      <c r="J27" s="1" t="s">
        <v>39</v>
      </c>
      <c r="K27" s="1" t="s">
        <v>175</v>
      </c>
      <c r="L27" s="1" t="s">
        <v>7</v>
      </c>
      <c r="M27" s="45" t="s">
        <v>60</v>
      </c>
      <c r="N27" s="34">
        <v>50</v>
      </c>
      <c r="O27" s="5">
        <v>5</v>
      </c>
      <c r="P27" s="6">
        <v>10</v>
      </c>
      <c r="Q27" s="7">
        <v>20</v>
      </c>
      <c r="R27" s="5">
        <v>30</v>
      </c>
      <c r="S27" s="6">
        <v>40</v>
      </c>
      <c r="T27" s="7">
        <v>50</v>
      </c>
      <c r="U27" s="5">
        <v>60</v>
      </c>
      <c r="V27" s="6">
        <v>70</v>
      </c>
      <c r="W27" s="7">
        <v>80</v>
      </c>
      <c r="X27" s="35" t="s">
        <v>64</v>
      </c>
    </row>
    <row r="28" spans="1:24" ht="15" customHeight="1" x14ac:dyDescent="0.35">
      <c r="A28" s="76" t="s">
        <v>49</v>
      </c>
      <c r="B28" s="35" t="s">
        <v>50</v>
      </c>
      <c r="C28" s="34" t="s">
        <v>15</v>
      </c>
      <c r="D28" s="35" t="s">
        <v>156</v>
      </c>
      <c r="E28" s="1" t="s">
        <v>7</v>
      </c>
      <c r="F28" s="1" t="s">
        <v>7</v>
      </c>
      <c r="G28" s="1" t="s">
        <v>7</v>
      </c>
      <c r="H28" s="1" t="s">
        <v>61</v>
      </c>
      <c r="I28" s="42" t="s">
        <v>217</v>
      </c>
      <c r="J28" s="1" t="s">
        <v>39</v>
      </c>
      <c r="K28" s="1" t="s">
        <v>175</v>
      </c>
      <c r="L28" s="1" t="s">
        <v>7</v>
      </c>
      <c r="M28" s="45" t="s">
        <v>60</v>
      </c>
      <c r="N28" s="62">
        <v>40</v>
      </c>
      <c r="O28" s="5">
        <v>5</v>
      </c>
      <c r="P28" s="6">
        <v>10</v>
      </c>
      <c r="Q28" s="7">
        <v>20</v>
      </c>
      <c r="R28" s="5">
        <v>30</v>
      </c>
      <c r="S28" s="6">
        <v>40</v>
      </c>
      <c r="T28" s="7">
        <v>50</v>
      </c>
      <c r="U28" s="5">
        <v>60</v>
      </c>
      <c r="V28" s="6">
        <v>70</v>
      </c>
      <c r="W28" s="7">
        <v>80</v>
      </c>
      <c r="X28" s="35" t="s">
        <v>222</v>
      </c>
    </row>
    <row r="29" spans="1:24" ht="15" customHeight="1" x14ac:dyDescent="0.35">
      <c r="A29" s="76" t="s">
        <v>102</v>
      </c>
      <c r="B29" s="35" t="s">
        <v>209</v>
      </c>
      <c r="C29" s="34" t="s">
        <v>15</v>
      </c>
      <c r="D29" s="35" t="s">
        <v>210</v>
      </c>
      <c r="E29" s="1" t="s">
        <v>7</v>
      </c>
      <c r="F29" s="1" t="s">
        <v>7</v>
      </c>
      <c r="G29" s="1" t="s">
        <v>7</v>
      </c>
      <c r="H29" s="2" t="s">
        <v>9</v>
      </c>
      <c r="I29" s="42" t="s">
        <v>217</v>
      </c>
      <c r="J29" s="1" t="s">
        <v>39</v>
      </c>
      <c r="K29" s="1" t="s">
        <v>175</v>
      </c>
      <c r="L29" s="1" t="s">
        <v>7</v>
      </c>
      <c r="M29" s="45" t="s">
        <v>60</v>
      </c>
      <c r="N29" s="64">
        <v>20</v>
      </c>
      <c r="O29" s="5">
        <v>50</v>
      </c>
      <c r="P29" s="6">
        <v>60</v>
      </c>
      <c r="Q29" s="7">
        <v>70</v>
      </c>
      <c r="R29" s="5">
        <v>60</v>
      </c>
      <c r="S29" s="6">
        <v>75</v>
      </c>
      <c r="T29" s="7">
        <v>90</v>
      </c>
      <c r="U29" s="5">
        <v>80</v>
      </c>
      <c r="V29" s="6">
        <v>90</v>
      </c>
      <c r="W29" s="7">
        <v>95</v>
      </c>
      <c r="X29" s="35" t="s">
        <v>159</v>
      </c>
    </row>
    <row r="30" spans="1:24" ht="15" customHeight="1" x14ac:dyDescent="0.35">
      <c r="A30" s="76" t="s">
        <v>103</v>
      </c>
      <c r="B30" s="35" t="s">
        <v>209</v>
      </c>
      <c r="C30" s="34" t="s">
        <v>15</v>
      </c>
      <c r="D30" s="35" t="s">
        <v>210</v>
      </c>
      <c r="E30" s="1" t="s">
        <v>7</v>
      </c>
      <c r="F30" s="1" t="s">
        <v>7</v>
      </c>
      <c r="G30" s="1" t="s">
        <v>7</v>
      </c>
      <c r="H30" s="2" t="s">
        <v>8</v>
      </c>
      <c r="I30" s="42" t="s">
        <v>217</v>
      </c>
      <c r="J30" s="1" t="s">
        <v>39</v>
      </c>
      <c r="K30" s="1" t="s">
        <v>175</v>
      </c>
      <c r="L30" s="1" t="s">
        <v>7</v>
      </c>
      <c r="M30" s="45" t="s">
        <v>60</v>
      </c>
      <c r="N30" s="34">
        <v>95</v>
      </c>
      <c r="O30" s="5">
        <v>5</v>
      </c>
      <c r="P30" s="6">
        <v>10</v>
      </c>
      <c r="Q30" s="7">
        <v>15</v>
      </c>
      <c r="R30" s="5">
        <v>10</v>
      </c>
      <c r="S30" s="6">
        <v>20</v>
      </c>
      <c r="T30" s="7">
        <v>46</v>
      </c>
      <c r="U30" s="5">
        <v>50</v>
      </c>
      <c r="V30" s="6">
        <v>80</v>
      </c>
      <c r="W30" s="7">
        <v>100</v>
      </c>
      <c r="X30" s="35" t="s">
        <v>157</v>
      </c>
    </row>
    <row r="31" spans="1:24" ht="15" customHeight="1" x14ac:dyDescent="0.35">
      <c r="A31" s="76" t="s">
        <v>104</v>
      </c>
      <c r="B31" s="35" t="s">
        <v>209</v>
      </c>
      <c r="C31" s="34" t="s">
        <v>15</v>
      </c>
      <c r="D31" s="35" t="s">
        <v>210</v>
      </c>
      <c r="E31" s="1" t="s">
        <v>7</v>
      </c>
      <c r="F31" s="1" t="s">
        <v>7</v>
      </c>
      <c r="G31" s="1" t="s">
        <v>7</v>
      </c>
      <c r="H31" s="2" t="s">
        <v>66</v>
      </c>
      <c r="I31" s="42" t="s">
        <v>217</v>
      </c>
      <c r="J31" s="1" t="s">
        <v>39</v>
      </c>
      <c r="K31" s="1" t="s">
        <v>175</v>
      </c>
      <c r="L31" s="1" t="s">
        <v>7</v>
      </c>
      <c r="M31" s="45" t="s">
        <v>60</v>
      </c>
      <c r="N31" s="34">
        <v>80</v>
      </c>
      <c r="O31" s="5">
        <v>5</v>
      </c>
      <c r="P31" s="6">
        <v>10</v>
      </c>
      <c r="Q31" s="7">
        <v>15</v>
      </c>
      <c r="R31" s="5">
        <v>10</v>
      </c>
      <c r="S31" s="6">
        <v>20</v>
      </c>
      <c r="T31" s="7">
        <v>50</v>
      </c>
      <c r="U31" s="5">
        <v>50</v>
      </c>
      <c r="V31" s="6">
        <v>80</v>
      </c>
      <c r="W31" s="7">
        <v>100</v>
      </c>
      <c r="X31" s="35" t="s">
        <v>223</v>
      </c>
    </row>
    <row r="32" spans="1:24" ht="15" customHeight="1" x14ac:dyDescent="0.35">
      <c r="A32" s="76" t="s">
        <v>105</v>
      </c>
      <c r="B32" s="35" t="s">
        <v>209</v>
      </c>
      <c r="C32" s="34" t="s">
        <v>15</v>
      </c>
      <c r="D32" s="35" t="s">
        <v>210</v>
      </c>
      <c r="E32" s="1" t="s">
        <v>7</v>
      </c>
      <c r="F32" s="1" t="s">
        <v>7</v>
      </c>
      <c r="G32" s="1" t="s">
        <v>7</v>
      </c>
      <c r="H32" s="2" t="s">
        <v>74</v>
      </c>
      <c r="I32" s="42" t="s">
        <v>217</v>
      </c>
      <c r="J32" s="1" t="s">
        <v>39</v>
      </c>
      <c r="K32" s="1" t="s">
        <v>175</v>
      </c>
      <c r="L32" s="1" t="s">
        <v>7</v>
      </c>
      <c r="M32" s="45" t="s">
        <v>60</v>
      </c>
      <c r="N32" s="35">
        <v>80</v>
      </c>
      <c r="O32" s="5">
        <v>5</v>
      </c>
      <c r="P32" s="6">
        <v>10</v>
      </c>
      <c r="Q32" s="7">
        <v>15</v>
      </c>
      <c r="R32" s="5">
        <v>10</v>
      </c>
      <c r="S32" s="6">
        <v>20</v>
      </c>
      <c r="T32" s="7">
        <v>50</v>
      </c>
      <c r="U32" s="5">
        <v>50</v>
      </c>
      <c r="V32" s="6">
        <v>80</v>
      </c>
      <c r="W32" s="7">
        <v>100</v>
      </c>
      <c r="X32" s="35" t="s">
        <v>223</v>
      </c>
    </row>
    <row r="33" spans="1:24" ht="15" customHeight="1" x14ac:dyDescent="0.35">
      <c r="A33" s="76" t="s">
        <v>106</v>
      </c>
      <c r="B33" s="35" t="s">
        <v>209</v>
      </c>
      <c r="C33" s="34" t="s">
        <v>15</v>
      </c>
      <c r="D33" s="35" t="s">
        <v>210</v>
      </c>
      <c r="E33" s="1" t="s">
        <v>7</v>
      </c>
      <c r="F33" s="1" t="s">
        <v>7</v>
      </c>
      <c r="G33" s="1" t="s">
        <v>7</v>
      </c>
      <c r="H33" s="2" t="s">
        <v>11</v>
      </c>
      <c r="I33" s="42" t="s">
        <v>217</v>
      </c>
      <c r="J33" s="1" t="s">
        <v>39</v>
      </c>
      <c r="K33" s="1" t="s">
        <v>175</v>
      </c>
      <c r="L33" s="1" t="s">
        <v>7</v>
      </c>
      <c r="M33" s="45" t="s">
        <v>60</v>
      </c>
      <c r="N33" s="35">
        <v>75</v>
      </c>
      <c r="O33" s="5">
        <v>5</v>
      </c>
      <c r="P33" s="6">
        <v>10</v>
      </c>
      <c r="Q33" s="7">
        <v>15</v>
      </c>
      <c r="R33" s="5">
        <v>30</v>
      </c>
      <c r="S33" s="6">
        <v>30</v>
      </c>
      <c r="T33" s="7">
        <v>30</v>
      </c>
      <c r="U33" s="5">
        <v>50</v>
      </c>
      <c r="V33" s="6">
        <v>80</v>
      </c>
      <c r="W33" s="7">
        <v>100</v>
      </c>
      <c r="X33" s="35" t="s">
        <v>223</v>
      </c>
    </row>
    <row r="34" spans="1:24" ht="15" customHeight="1" x14ac:dyDescent="0.35">
      <c r="A34" s="76" t="s">
        <v>107</v>
      </c>
      <c r="B34" s="35" t="s">
        <v>78</v>
      </c>
      <c r="C34" s="34" t="s">
        <v>15</v>
      </c>
      <c r="D34" s="35" t="s">
        <v>158</v>
      </c>
      <c r="E34" s="1" t="s">
        <v>7</v>
      </c>
      <c r="F34" s="1" t="s">
        <v>7</v>
      </c>
      <c r="G34" s="1" t="s">
        <v>7</v>
      </c>
      <c r="H34" s="2" t="s">
        <v>9</v>
      </c>
      <c r="I34" s="42" t="s">
        <v>217</v>
      </c>
      <c r="J34" s="1" t="s">
        <v>39</v>
      </c>
      <c r="K34" s="1" t="s">
        <v>175</v>
      </c>
      <c r="L34" s="1" t="s">
        <v>7</v>
      </c>
      <c r="M34" s="45" t="s">
        <v>60</v>
      </c>
      <c r="N34" s="63">
        <v>60</v>
      </c>
      <c r="O34" s="5">
        <v>5</v>
      </c>
      <c r="P34" s="6">
        <v>15</v>
      </c>
      <c r="Q34" s="7">
        <v>23</v>
      </c>
      <c r="R34" s="5">
        <v>10</v>
      </c>
      <c r="S34" s="6">
        <v>20</v>
      </c>
      <c r="T34" s="7">
        <v>42</v>
      </c>
      <c r="U34" s="5">
        <v>25</v>
      </c>
      <c r="V34" s="6">
        <v>40</v>
      </c>
      <c r="W34" s="7">
        <v>90</v>
      </c>
      <c r="X34" s="35" t="s">
        <v>160</v>
      </c>
    </row>
    <row r="35" spans="1:24" ht="15" customHeight="1" x14ac:dyDescent="0.35">
      <c r="A35" s="76" t="s">
        <v>108</v>
      </c>
      <c r="B35" s="35" t="s">
        <v>78</v>
      </c>
      <c r="C35" s="34" t="s">
        <v>15</v>
      </c>
      <c r="D35" s="35" t="s">
        <v>158</v>
      </c>
      <c r="E35" s="1" t="s">
        <v>7</v>
      </c>
      <c r="F35" s="1" t="s">
        <v>7</v>
      </c>
      <c r="G35" s="1" t="s">
        <v>7</v>
      </c>
      <c r="H35" s="2" t="s">
        <v>8</v>
      </c>
      <c r="I35" s="42" t="s">
        <v>217</v>
      </c>
      <c r="J35" s="1" t="s">
        <v>39</v>
      </c>
      <c r="K35" s="1" t="s">
        <v>175</v>
      </c>
      <c r="L35" s="1" t="s">
        <v>7</v>
      </c>
      <c r="M35" s="45" t="s">
        <v>60</v>
      </c>
      <c r="N35" s="63">
        <v>5</v>
      </c>
      <c r="O35" s="5">
        <v>1</v>
      </c>
      <c r="P35" s="6">
        <v>2</v>
      </c>
      <c r="Q35" s="7">
        <v>3</v>
      </c>
      <c r="R35" s="5">
        <v>5</v>
      </c>
      <c r="S35" s="6">
        <v>10</v>
      </c>
      <c r="T35" s="7">
        <v>20</v>
      </c>
      <c r="U35" s="5">
        <v>15</v>
      </c>
      <c r="V35" s="6">
        <v>25</v>
      </c>
      <c r="W35" s="7">
        <v>60</v>
      </c>
      <c r="X35" s="35" t="s">
        <v>224</v>
      </c>
    </row>
    <row r="36" spans="1:24" ht="15" customHeight="1" x14ac:dyDescent="0.35">
      <c r="A36" s="76" t="s">
        <v>109</v>
      </c>
      <c r="B36" s="35" t="s">
        <v>78</v>
      </c>
      <c r="C36" s="34" t="s">
        <v>15</v>
      </c>
      <c r="D36" s="35" t="s">
        <v>158</v>
      </c>
      <c r="E36" s="1" t="s">
        <v>7</v>
      </c>
      <c r="F36" s="1" t="s">
        <v>7</v>
      </c>
      <c r="G36" s="1" t="s">
        <v>7</v>
      </c>
      <c r="H36" s="2" t="s">
        <v>66</v>
      </c>
      <c r="I36" s="42" t="s">
        <v>217</v>
      </c>
      <c r="J36" s="1" t="s">
        <v>39</v>
      </c>
      <c r="K36" s="1" t="s">
        <v>175</v>
      </c>
      <c r="L36" s="1" t="s">
        <v>7</v>
      </c>
      <c r="M36" s="45" t="s">
        <v>60</v>
      </c>
      <c r="N36" s="63">
        <v>20</v>
      </c>
      <c r="O36" s="5">
        <v>5</v>
      </c>
      <c r="P36" s="6">
        <v>15</v>
      </c>
      <c r="Q36" s="7">
        <v>23</v>
      </c>
      <c r="R36" s="5">
        <v>10</v>
      </c>
      <c r="S36" s="6">
        <v>20</v>
      </c>
      <c r="T36" s="7">
        <v>36</v>
      </c>
      <c r="U36" s="5">
        <v>25</v>
      </c>
      <c r="V36" s="6">
        <v>40</v>
      </c>
      <c r="W36" s="7">
        <v>90</v>
      </c>
      <c r="X36" s="35" t="s">
        <v>160</v>
      </c>
    </row>
    <row r="37" spans="1:24" ht="14.5" x14ac:dyDescent="0.35">
      <c r="A37" s="76" t="s">
        <v>86</v>
      </c>
      <c r="B37" s="34" t="s">
        <v>51</v>
      </c>
      <c r="C37" s="34" t="s">
        <v>15</v>
      </c>
      <c r="D37" s="35" t="s">
        <v>161</v>
      </c>
      <c r="E37" s="1" t="s">
        <v>7</v>
      </c>
      <c r="F37" s="1" t="s">
        <v>7</v>
      </c>
      <c r="G37" s="1" t="s">
        <v>7</v>
      </c>
      <c r="H37" s="1" t="s">
        <v>7</v>
      </c>
      <c r="I37" s="1" t="s">
        <v>218</v>
      </c>
      <c r="J37" s="1" t="s">
        <v>39</v>
      </c>
      <c r="K37" s="1" t="s">
        <v>171</v>
      </c>
      <c r="L37" s="1" t="s">
        <v>7</v>
      </c>
      <c r="M37" s="44" t="s">
        <v>7</v>
      </c>
      <c r="N37" s="35">
        <v>100</v>
      </c>
      <c r="O37" s="5">
        <v>1</v>
      </c>
      <c r="P37" s="6">
        <v>2</v>
      </c>
      <c r="Q37" s="7">
        <v>8</v>
      </c>
      <c r="R37" s="5">
        <v>5</v>
      </c>
      <c r="S37" s="6">
        <v>11</v>
      </c>
      <c r="T37" s="7">
        <v>16</v>
      </c>
      <c r="U37" s="5">
        <v>8</v>
      </c>
      <c r="V37" s="6">
        <v>16</v>
      </c>
      <c r="W37" s="7">
        <v>22</v>
      </c>
      <c r="X37" s="35" t="s">
        <v>225</v>
      </c>
    </row>
    <row r="38" spans="1:24" ht="15" customHeight="1" x14ac:dyDescent="0.35">
      <c r="A38" s="76" t="s">
        <v>87</v>
      </c>
      <c r="B38" s="34" t="s">
        <v>52</v>
      </c>
      <c r="C38" s="34" t="s">
        <v>15</v>
      </c>
      <c r="D38" s="35" t="s">
        <v>162</v>
      </c>
      <c r="E38" s="1" t="s">
        <v>7</v>
      </c>
      <c r="F38" s="1" t="s">
        <v>7</v>
      </c>
      <c r="G38" s="1" t="s">
        <v>7</v>
      </c>
      <c r="H38" s="1" t="s">
        <v>7</v>
      </c>
      <c r="I38" s="1" t="s">
        <v>219</v>
      </c>
      <c r="J38" s="1" t="s">
        <v>39</v>
      </c>
      <c r="K38" s="1" t="s">
        <v>172</v>
      </c>
      <c r="L38" s="1" t="s">
        <v>7</v>
      </c>
      <c r="M38" s="45" t="s">
        <v>60</v>
      </c>
      <c r="N38" s="36">
        <v>90</v>
      </c>
      <c r="O38" s="11">
        <v>15</v>
      </c>
      <c r="P38" s="12">
        <v>20.166666666666664</v>
      </c>
      <c r="Q38" s="13">
        <v>30</v>
      </c>
      <c r="R38" s="11">
        <v>30</v>
      </c>
      <c r="S38" s="12">
        <v>40.333333333333329</v>
      </c>
      <c r="T38" s="13">
        <v>60</v>
      </c>
      <c r="U38" s="11">
        <v>50</v>
      </c>
      <c r="V38" s="12">
        <v>70</v>
      </c>
      <c r="W38" s="13">
        <v>100</v>
      </c>
      <c r="X38" s="35" t="s">
        <v>163</v>
      </c>
    </row>
    <row r="39" spans="1:24" ht="15" customHeight="1" x14ac:dyDescent="0.35">
      <c r="A39" s="76" t="s">
        <v>89</v>
      </c>
      <c r="B39" s="34" t="s">
        <v>53</v>
      </c>
      <c r="C39" s="32"/>
      <c r="D39" s="32"/>
      <c r="E39" s="18"/>
      <c r="F39" s="17"/>
      <c r="G39" s="17"/>
      <c r="H39" s="17"/>
      <c r="I39" s="17"/>
      <c r="J39" s="17"/>
      <c r="K39" s="17"/>
      <c r="L39" s="17"/>
      <c r="M39" s="16"/>
      <c r="N39" s="32"/>
      <c r="O39" s="18"/>
      <c r="P39" s="17"/>
      <c r="Q39" s="16"/>
      <c r="R39" s="18"/>
      <c r="S39" s="17"/>
      <c r="T39" s="16"/>
      <c r="U39" s="18"/>
      <c r="V39" s="17"/>
      <c r="W39" s="16"/>
      <c r="X39" s="35" t="s">
        <v>142</v>
      </c>
    </row>
    <row r="40" spans="1:24" ht="15" customHeight="1" x14ac:dyDescent="0.35">
      <c r="A40" s="76" t="s">
        <v>88</v>
      </c>
      <c r="B40" s="34" t="s">
        <v>54</v>
      </c>
      <c r="C40" s="34" t="s">
        <v>15</v>
      </c>
      <c r="D40" s="35" t="s">
        <v>164</v>
      </c>
      <c r="E40" s="1" t="s">
        <v>7</v>
      </c>
      <c r="F40" s="1" t="s">
        <v>7</v>
      </c>
      <c r="G40" s="1" t="s">
        <v>7</v>
      </c>
      <c r="H40" s="1" t="s">
        <v>7</v>
      </c>
      <c r="I40" s="1" t="s">
        <v>65</v>
      </c>
      <c r="J40" s="1" t="s">
        <v>39</v>
      </c>
      <c r="K40" s="1" t="s">
        <v>7</v>
      </c>
      <c r="L40" s="1" t="s">
        <v>7</v>
      </c>
      <c r="M40" s="46" t="s">
        <v>7</v>
      </c>
      <c r="N40" s="65">
        <v>100</v>
      </c>
      <c r="O40" s="5">
        <v>1</v>
      </c>
      <c r="P40" s="6">
        <v>2</v>
      </c>
      <c r="Q40" s="7">
        <v>3</v>
      </c>
      <c r="R40" s="5">
        <v>4</v>
      </c>
      <c r="S40" s="6">
        <v>8</v>
      </c>
      <c r="T40" s="7">
        <v>10</v>
      </c>
      <c r="U40" s="5">
        <v>6</v>
      </c>
      <c r="V40" s="6">
        <v>10</v>
      </c>
      <c r="W40" s="7">
        <v>12</v>
      </c>
      <c r="X40" s="35" t="s">
        <v>227</v>
      </c>
    </row>
    <row r="41" spans="1:24" ht="15" customHeight="1" x14ac:dyDescent="0.35">
      <c r="A41" s="76" t="s">
        <v>110</v>
      </c>
      <c r="B41" s="34" t="s">
        <v>55</v>
      </c>
      <c r="C41" s="34" t="s">
        <v>15</v>
      </c>
      <c r="D41" s="35" t="s">
        <v>165</v>
      </c>
      <c r="E41" s="1" t="s">
        <v>7</v>
      </c>
      <c r="F41" s="1" t="s">
        <v>7</v>
      </c>
      <c r="G41" s="1" t="s">
        <v>62</v>
      </c>
      <c r="H41" s="1" t="s">
        <v>8</v>
      </c>
      <c r="I41" s="42" t="s">
        <v>217</v>
      </c>
      <c r="J41" s="1" t="s">
        <v>39</v>
      </c>
      <c r="K41" s="1" t="s">
        <v>175</v>
      </c>
      <c r="L41" s="1" t="s">
        <v>7</v>
      </c>
      <c r="M41" s="45" t="s">
        <v>60</v>
      </c>
      <c r="N41" s="35">
        <f>96</f>
        <v>96</v>
      </c>
      <c r="O41" s="5">
        <f>2*0.2</f>
        <v>0.4</v>
      </c>
      <c r="P41" s="6">
        <f>0.2*3</f>
        <v>0.60000000000000009</v>
      </c>
      <c r="Q41" s="7">
        <f>0.2*9</f>
        <v>1.8</v>
      </c>
      <c r="R41" s="5">
        <f>0.2*3</f>
        <v>0.60000000000000009</v>
      </c>
      <c r="S41" s="6">
        <f>0.2*7</f>
        <v>1.4000000000000001</v>
      </c>
      <c r="T41" s="7">
        <f>0.2*18</f>
        <v>3.6</v>
      </c>
      <c r="U41" s="5">
        <f>0.2*5</f>
        <v>1</v>
      </c>
      <c r="V41" s="6">
        <f>0.2*10</f>
        <v>2</v>
      </c>
      <c r="W41" s="7">
        <f>0.2*29</f>
        <v>5.8000000000000007</v>
      </c>
      <c r="X41" s="35" t="s">
        <v>213</v>
      </c>
    </row>
    <row r="42" spans="1:24" ht="15" customHeight="1" x14ac:dyDescent="0.35">
      <c r="A42" s="76" t="s">
        <v>111</v>
      </c>
      <c r="B42" s="34" t="s">
        <v>55</v>
      </c>
      <c r="C42" s="34" t="s">
        <v>15</v>
      </c>
      <c r="D42" s="35" t="s">
        <v>165</v>
      </c>
      <c r="E42" s="1" t="s">
        <v>7</v>
      </c>
      <c r="F42" s="1" t="s">
        <v>7</v>
      </c>
      <c r="G42" s="1" t="s">
        <v>62</v>
      </c>
      <c r="H42" s="1" t="s">
        <v>66</v>
      </c>
      <c r="I42" s="42" t="s">
        <v>217</v>
      </c>
      <c r="J42" s="1" t="s">
        <v>39</v>
      </c>
      <c r="K42" s="1" t="s">
        <v>175</v>
      </c>
      <c r="L42" s="1" t="s">
        <v>7</v>
      </c>
      <c r="M42" s="45" t="s">
        <v>60</v>
      </c>
      <c r="N42" s="35">
        <f>99</f>
        <v>99</v>
      </c>
      <c r="O42" s="5">
        <f>2*0.2</f>
        <v>0.4</v>
      </c>
      <c r="P42" s="6">
        <f>0.2*3</f>
        <v>0.60000000000000009</v>
      </c>
      <c r="Q42" s="7">
        <f>0.2*10</f>
        <v>2</v>
      </c>
      <c r="R42" s="5">
        <f>0.2*3</f>
        <v>0.60000000000000009</v>
      </c>
      <c r="S42" s="6">
        <f>0.2*7</f>
        <v>1.4000000000000001</v>
      </c>
      <c r="T42" s="7">
        <f>0.2*19</f>
        <v>3.8000000000000003</v>
      </c>
      <c r="U42" s="5">
        <f>0.2*5</f>
        <v>1</v>
      </c>
      <c r="V42" s="6">
        <f>0.2*10</f>
        <v>2</v>
      </c>
      <c r="W42" s="7">
        <f>0.2*27</f>
        <v>5.4</v>
      </c>
      <c r="X42" s="35" t="s">
        <v>214</v>
      </c>
    </row>
    <row r="43" spans="1:24" ht="15" customHeight="1" x14ac:dyDescent="0.35">
      <c r="A43" s="76" t="s">
        <v>112</v>
      </c>
      <c r="B43" s="34" t="s">
        <v>55</v>
      </c>
      <c r="C43" s="34" t="s">
        <v>15</v>
      </c>
      <c r="D43" s="35" t="s">
        <v>165</v>
      </c>
      <c r="E43" s="1" t="s">
        <v>7</v>
      </c>
      <c r="F43" s="1" t="s">
        <v>7</v>
      </c>
      <c r="G43" s="1" t="s">
        <v>62</v>
      </c>
      <c r="H43" s="1" t="s">
        <v>9</v>
      </c>
      <c r="I43" s="42" t="s">
        <v>217</v>
      </c>
      <c r="J43" s="1" t="s">
        <v>39</v>
      </c>
      <c r="K43" s="1" t="s">
        <v>175</v>
      </c>
      <c r="L43" s="1" t="s">
        <v>7</v>
      </c>
      <c r="M43" s="45" t="s">
        <v>60</v>
      </c>
      <c r="N43" s="63">
        <f>99</f>
        <v>99</v>
      </c>
      <c r="O43" s="5">
        <f>2*0.2</f>
        <v>0.4</v>
      </c>
      <c r="P43" s="6">
        <f>0.2*3</f>
        <v>0.60000000000000009</v>
      </c>
      <c r="Q43" s="7">
        <f>0.2*10</f>
        <v>2</v>
      </c>
      <c r="R43" s="5">
        <f>0.2*3</f>
        <v>0.60000000000000009</v>
      </c>
      <c r="S43" s="6">
        <f>0.2*7</f>
        <v>1.4000000000000001</v>
      </c>
      <c r="T43" s="7">
        <f>0.2*19</f>
        <v>3.8000000000000003</v>
      </c>
      <c r="U43" s="5">
        <f>0.2*5</f>
        <v>1</v>
      </c>
      <c r="V43" s="6">
        <f>0.2*10</f>
        <v>2</v>
      </c>
      <c r="W43" s="7">
        <f>0.2*27</f>
        <v>5.4</v>
      </c>
      <c r="X43" s="35" t="s">
        <v>215</v>
      </c>
    </row>
    <row r="44" spans="1:24" ht="15" customHeight="1" x14ac:dyDescent="0.35">
      <c r="A44" s="76" t="s">
        <v>113</v>
      </c>
      <c r="B44" s="34" t="s">
        <v>56</v>
      </c>
      <c r="C44" s="34" t="s">
        <v>15</v>
      </c>
      <c r="D44" s="35" t="s">
        <v>166</v>
      </c>
      <c r="E44" s="1" t="s">
        <v>7</v>
      </c>
      <c r="F44" s="1" t="s">
        <v>7</v>
      </c>
      <c r="G44" s="1" t="s">
        <v>7</v>
      </c>
      <c r="H44" s="1" t="s">
        <v>8</v>
      </c>
      <c r="I44" s="42" t="s">
        <v>217</v>
      </c>
      <c r="J44" s="1" t="s">
        <v>39</v>
      </c>
      <c r="K44" s="1" t="s">
        <v>175</v>
      </c>
      <c r="L44" s="1" t="s">
        <v>7</v>
      </c>
      <c r="M44" s="45" t="s">
        <v>60</v>
      </c>
      <c r="N44" s="36">
        <f>70</f>
        <v>70</v>
      </c>
      <c r="O44" s="5">
        <f>30*0.2</f>
        <v>6</v>
      </c>
      <c r="P44" s="6">
        <f>0.2*40</f>
        <v>8</v>
      </c>
      <c r="Q44" s="7">
        <f>0.2*50</f>
        <v>10</v>
      </c>
      <c r="R44" s="5">
        <f>0.2*40</f>
        <v>8</v>
      </c>
      <c r="S44" s="6">
        <f>0.2*50</f>
        <v>10</v>
      </c>
      <c r="T44" s="7">
        <f>0.2*60</f>
        <v>12</v>
      </c>
      <c r="U44" s="5">
        <f>0.2*50</f>
        <v>10</v>
      </c>
      <c r="V44" s="6">
        <f>0.2*60</f>
        <v>12</v>
      </c>
      <c r="W44" s="7">
        <f>0.2*70</f>
        <v>14</v>
      </c>
      <c r="X44" s="35" t="s">
        <v>213</v>
      </c>
    </row>
    <row r="45" spans="1:24" ht="15" customHeight="1" x14ac:dyDescent="0.35">
      <c r="A45" s="76" t="s">
        <v>114</v>
      </c>
      <c r="B45" s="34" t="s">
        <v>56</v>
      </c>
      <c r="C45" s="34" t="s">
        <v>15</v>
      </c>
      <c r="D45" s="35" t="s">
        <v>166</v>
      </c>
      <c r="E45" s="1" t="s">
        <v>7</v>
      </c>
      <c r="F45" s="1" t="s">
        <v>7</v>
      </c>
      <c r="G45" s="1" t="s">
        <v>7</v>
      </c>
      <c r="H45" s="1" t="s">
        <v>71</v>
      </c>
      <c r="I45" s="42" t="s">
        <v>217</v>
      </c>
      <c r="J45" s="1" t="s">
        <v>39</v>
      </c>
      <c r="K45" s="1" t="s">
        <v>175</v>
      </c>
      <c r="L45" s="1" t="s">
        <v>7</v>
      </c>
      <c r="M45" s="45" t="s">
        <v>60</v>
      </c>
      <c r="N45" s="36">
        <f>23</f>
        <v>23</v>
      </c>
      <c r="O45" s="5">
        <f>30*0.2</f>
        <v>6</v>
      </c>
      <c r="P45" s="6">
        <f>0.2*40</f>
        <v>8</v>
      </c>
      <c r="Q45" s="7">
        <f>0.2*50</f>
        <v>10</v>
      </c>
      <c r="R45" s="5">
        <f>0.2*40</f>
        <v>8</v>
      </c>
      <c r="S45" s="6">
        <f>0.2*50</f>
        <v>10</v>
      </c>
      <c r="T45" s="7">
        <f>0.2*60</f>
        <v>12</v>
      </c>
      <c r="U45" s="5">
        <f>0.2*50</f>
        <v>10</v>
      </c>
      <c r="V45" s="6">
        <f>0.2*60</f>
        <v>12</v>
      </c>
      <c r="W45" s="7">
        <f>0.2*75</f>
        <v>15</v>
      </c>
      <c r="X45" s="35" t="s">
        <v>213</v>
      </c>
    </row>
    <row r="46" spans="1:24" ht="15" customHeight="1" x14ac:dyDescent="0.35">
      <c r="A46" s="76" t="s">
        <v>115</v>
      </c>
      <c r="B46" s="34" t="s">
        <v>56</v>
      </c>
      <c r="C46" s="34" t="s">
        <v>15</v>
      </c>
      <c r="D46" s="35" t="s">
        <v>166</v>
      </c>
      <c r="E46" s="1" t="s">
        <v>7</v>
      </c>
      <c r="F46" s="1" t="s">
        <v>7</v>
      </c>
      <c r="G46" s="1" t="s">
        <v>7</v>
      </c>
      <c r="H46" s="1" t="s">
        <v>66</v>
      </c>
      <c r="I46" s="42" t="s">
        <v>217</v>
      </c>
      <c r="J46" s="1" t="s">
        <v>39</v>
      </c>
      <c r="K46" s="1" t="s">
        <v>175</v>
      </c>
      <c r="L46" s="1" t="s">
        <v>7</v>
      </c>
      <c r="M46" s="45" t="s">
        <v>60</v>
      </c>
      <c r="N46" s="66">
        <f>28</f>
        <v>28</v>
      </c>
      <c r="O46" s="5">
        <f>5*0.2</f>
        <v>1</v>
      </c>
      <c r="P46" s="6">
        <f>0.2*15</f>
        <v>3</v>
      </c>
      <c r="Q46" s="7">
        <f>0.2*25</f>
        <v>5</v>
      </c>
      <c r="R46" s="5">
        <f>0.2*10</f>
        <v>2</v>
      </c>
      <c r="S46" s="6">
        <f>0.2*30</f>
        <v>6</v>
      </c>
      <c r="T46" s="7">
        <f>0.2*50</f>
        <v>10</v>
      </c>
      <c r="U46" s="5">
        <f>0.2*30</f>
        <v>6</v>
      </c>
      <c r="V46" s="6">
        <f>0.2*70</f>
        <v>14</v>
      </c>
      <c r="W46" s="7">
        <f>0.2*100</f>
        <v>20</v>
      </c>
      <c r="X46" s="35" t="s">
        <v>216</v>
      </c>
    </row>
    <row r="47" spans="1:24" ht="15" customHeight="1" x14ac:dyDescent="0.35">
      <c r="A47" s="76" t="s">
        <v>116</v>
      </c>
      <c r="B47" s="34" t="s">
        <v>56</v>
      </c>
      <c r="C47" s="34" t="s">
        <v>15</v>
      </c>
      <c r="D47" s="35" t="s">
        <v>166</v>
      </c>
      <c r="E47" s="1" t="s">
        <v>7</v>
      </c>
      <c r="F47" s="1" t="s">
        <v>7</v>
      </c>
      <c r="G47" s="1" t="s">
        <v>7</v>
      </c>
      <c r="H47" s="1" t="s">
        <v>11</v>
      </c>
      <c r="I47" s="42" t="s">
        <v>217</v>
      </c>
      <c r="J47" s="1" t="s">
        <v>39</v>
      </c>
      <c r="K47" s="1" t="s">
        <v>175</v>
      </c>
      <c r="L47" s="1" t="s">
        <v>7</v>
      </c>
      <c r="M47" s="45" t="s">
        <v>60</v>
      </c>
      <c r="N47" s="36">
        <f>77</f>
        <v>77</v>
      </c>
      <c r="O47" s="5">
        <f>50*0.2</f>
        <v>10</v>
      </c>
      <c r="P47" s="6">
        <f>0.2*55</f>
        <v>11</v>
      </c>
      <c r="Q47" s="7">
        <f>0.2*60</f>
        <v>12</v>
      </c>
      <c r="R47" s="5">
        <f>0.2*60</f>
        <v>12</v>
      </c>
      <c r="S47" s="6">
        <f>0.2*65</f>
        <v>13</v>
      </c>
      <c r="T47" s="7">
        <f>0.2*70</f>
        <v>14</v>
      </c>
      <c r="U47" s="5">
        <f>0.2*70</f>
        <v>14</v>
      </c>
      <c r="V47" s="6">
        <f>0.2*85</f>
        <v>17</v>
      </c>
      <c r="W47" s="7">
        <f>0.2*98</f>
        <v>19.600000000000001</v>
      </c>
      <c r="X47" s="35" t="s">
        <v>213</v>
      </c>
    </row>
    <row r="48" spans="1:24" ht="15" customHeight="1" x14ac:dyDescent="0.35">
      <c r="A48" s="76" t="s">
        <v>117</v>
      </c>
      <c r="B48" s="34" t="s">
        <v>56</v>
      </c>
      <c r="C48" s="34" t="s">
        <v>15</v>
      </c>
      <c r="D48" s="35" t="s">
        <v>166</v>
      </c>
      <c r="E48" s="1" t="s">
        <v>7</v>
      </c>
      <c r="F48" s="1" t="s">
        <v>7</v>
      </c>
      <c r="G48" s="1" t="s">
        <v>7</v>
      </c>
      <c r="H48" s="47" t="s">
        <v>72</v>
      </c>
      <c r="I48" s="42" t="s">
        <v>217</v>
      </c>
      <c r="J48" s="1" t="s">
        <v>39</v>
      </c>
      <c r="K48" s="1" t="s">
        <v>175</v>
      </c>
      <c r="L48" s="1" t="s">
        <v>7</v>
      </c>
      <c r="M48" s="45" t="s">
        <v>60</v>
      </c>
      <c r="N48" s="65">
        <f>77</f>
        <v>77</v>
      </c>
      <c r="O48" s="5">
        <f>70*0.2</f>
        <v>14</v>
      </c>
      <c r="P48" s="6">
        <f>0.2*75</f>
        <v>15</v>
      </c>
      <c r="Q48" s="7">
        <f>0.2*80</f>
        <v>16</v>
      </c>
      <c r="R48" s="5">
        <f>0.2*80</f>
        <v>16</v>
      </c>
      <c r="S48" s="6">
        <f>0.2*85</f>
        <v>17</v>
      </c>
      <c r="T48" s="7">
        <f>0.2*90</f>
        <v>18</v>
      </c>
      <c r="U48" s="5">
        <f>0.2*90</f>
        <v>18</v>
      </c>
      <c r="V48" s="6">
        <f>0.2*95</f>
        <v>19</v>
      </c>
      <c r="W48" s="7">
        <f>0.2*98</f>
        <v>19.600000000000001</v>
      </c>
      <c r="X48" s="35" t="s">
        <v>213</v>
      </c>
    </row>
    <row r="49" spans="1:24" ht="15" customHeight="1" x14ac:dyDescent="0.35">
      <c r="A49" s="76" t="s">
        <v>118</v>
      </c>
      <c r="B49" s="34" t="s">
        <v>56</v>
      </c>
      <c r="C49" s="34" t="s">
        <v>15</v>
      </c>
      <c r="D49" s="35" t="s">
        <v>166</v>
      </c>
      <c r="E49" s="1" t="s">
        <v>7</v>
      </c>
      <c r="F49" s="1" t="s">
        <v>7</v>
      </c>
      <c r="G49" s="1" t="s">
        <v>7</v>
      </c>
      <c r="H49" s="1" t="s">
        <v>73</v>
      </c>
      <c r="I49" s="42" t="s">
        <v>217</v>
      </c>
      <c r="J49" s="1" t="s">
        <v>39</v>
      </c>
      <c r="K49" s="1" t="s">
        <v>175</v>
      </c>
      <c r="L49" s="1" t="s">
        <v>7</v>
      </c>
      <c r="M49" s="45" t="s">
        <v>60</v>
      </c>
      <c r="N49" s="65">
        <f>28</f>
        <v>28</v>
      </c>
      <c r="O49" s="5">
        <f>15*0.2</f>
        <v>3</v>
      </c>
      <c r="P49" s="6">
        <f>0.2*20</f>
        <v>4</v>
      </c>
      <c r="Q49" s="7">
        <f>0.2*25</f>
        <v>5</v>
      </c>
      <c r="R49" s="5">
        <f>0.2*20</f>
        <v>4</v>
      </c>
      <c r="S49" s="6">
        <f>0.2*25</f>
        <v>5</v>
      </c>
      <c r="T49" s="7">
        <f>0.2*30</f>
        <v>6</v>
      </c>
      <c r="U49" s="5">
        <f>0.2*35</f>
        <v>7</v>
      </c>
      <c r="V49" s="6">
        <f>0.2*40</f>
        <v>8</v>
      </c>
      <c r="W49" s="7">
        <f>0.2*44</f>
        <v>8.8000000000000007</v>
      </c>
      <c r="X49" s="35" t="s">
        <v>216</v>
      </c>
    </row>
    <row r="50" spans="1:24" ht="15" customHeight="1" x14ac:dyDescent="0.35">
      <c r="A50" s="76" t="s">
        <v>119</v>
      </c>
      <c r="B50" s="34" t="s">
        <v>56</v>
      </c>
      <c r="C50" s="34" t="s">
        <v>15</v>
      </c>
      <c r="D50" s="35" t="s">
        <v>166</v>
      </c>
      <c r="E50" s="1" t="s">
        <v>7</v>
      </c>
      <c r="F50" s="1" t="s">
        <v>7</v>
      </c>
      <c r="G50" s="1" t="s">
        <v>7</v>
      </c>
      <c r="H50" s="1" t="s">
        <v>74</v>
      </c>
      <c r="I50" s="42" t="s">
        <v>217</v>
      </c>
      <c r="J50" s="1" t="s">
        <v>39</v>
      </c>
      <c r="K50" s="1" t="s">
        <v>175</v>
      </c>
      <c r="L50" s="1" t="s">
        <v>7</v>
      </c>
      <c r="M50" s="45" t="s">
        <v>60</v>
      </c>
      <c r="N50" s="65">
        <f>28</f>
        <v>28</v>
      </c>
      <c r="O50" s="5">
        <f>5*0.2</f>
        <v>1</v>
      </c>
      <c r="P50" s="6">
        <f>0.2*15</f>
        <v>3</v>
      </c>
      <c r="Q50" s="7">
        <f>0.2*25</f>
        <v>5</v>
      </c>
      <c r="R50" s="5">
        <f>0.2*10</f>
        <v>2</v>
      </c>
      <c r="S50" s="6">
        <f>0.2*30</f>
        <v>6</v>
      </c>
      <c r="T50" s="7">
        <f>0.2*50</f>
        <v>10</v>
      </c>
      <c r="U50" s="5">
        <f>0.2*30</f>
        <v>6</v>
      </c>
      <c r="V50" s="6">
        <f>0.2*70</f>
        <v>14</v>
      </c>
      <c r="W50" s="7">
        <f>0.2*100</f>
        <v>20</v>
      </c>
      <c r="X50" s="35" t="s">
        <v>216</v>
      </c>
    </row>
    <row r="51" spans="1:24" ht="15" customHeight="1" x14ac:dyDescent="0.35">
      <c r="A51" s="76" t="s">
        <v>120</v>
      </c>
      <c r="B51" s="34" t="s">
        <v>56</v>
      </c>
      <c r="C51" s="34" t="s">
        <v>15</v>
      </c>
      <c r="D51" s="35" t="s">
        <v>166</v>
      </c>
      <c r="E51" s="1" t="s">
        <v>7</v>
      </c>
      <c r="F51" s="1" t="s">
        <v>7</v>
      </c>
      <c r="G51" s="1" t="s">
        <v>7</v>
      </c>
      <c r="H51" s="1" t="s">
        <v>9</v>
      </c>
      <c r="I51" s="42" t="s">
        <v>217</v>
      </c>
      <c r="J51" s="1" t="s">
        <v>39</v>
      </c>
      <c r="K51" s="1" t="s">
        <v>175</v>
      </c>
      <c r="L51" s="1" t="s">
        <v>7</v>
      </c>
      <c r="M51" s="45" t="s">
        <v>60</v>
      </c>
      <c r="N51" s="36">
        <f>1</f>
        <v>1</v>
      </c>
      <c r="O51" s="5">
        <f>10*0.2</f>
        <v>2</v>
      </c>
      <c r="P51" s="6">
        <f>0.2*15</f>
        <v>3</v>
      </c>
      <c r="Q51" s="7">
        <f>0.2*20</f>
        <v>4</v>
      </c>
      <c r="R51" s="5">
        <f>0.2*15</f>
        <v>3</v>
      </c>
      <c r="S51" s="6">
        <f>0.2*20</f>
        <v>4</v>
      </c>
      <c r="T51" s="7">
        <f>0.2*25</f>
        <v>5</v>
      </c>
      <c r="U51" s="5">
        <f>0.2*20</f>
        <v>4</v>
      </c>
      <c r="V51" s="6">
        <f>0.2*25</f>
        <v>5</v>
      </c>
      <c r="W51" s="7">
        <f>0.2*30</f>
        <v>6</v>
      </c>
      <c r="X51" s="35" t="s">
        <v>213</v>
      </c>
    </row>
    <row r="52" spans="1:24" ht="15" customHeight="1" x14ac:dyDescent="0.35">
      <c r="A52" s="76" t="s">
        <v>121</v>
      </c>
      <c r="B52" s="34" t="s">
        <v>56</v>
      </c>
      <c r="C52" s="34" t="s">
        <v>15</v>
      </c>
      <c r="D52" s="35" t="s">
        <v>166</v>
      </c>
      <c r="E52" s="1" t="s">
        <v>7</v>
      </c>
      <c r="F52" s="1" t="s">
        <v>7</v>
      </c>
      <c r="G52" s="1" t="s">
        <v>7</v>
      </c>
      <c r="H52" s="1" t="s">
        <v>75</v>
      </c>
      <c r="I52" s="42" t="s">
        <v>217</v>
      </c>
      <c r="J52" s="1" t="s">
        <v>39</v>
      </c>
      <c r="K52" s="1" t="s">
        <v>175</v>
      </c>
      <c r="L52" s="1" t="s">
        <v>7</v>
      </c>
      <c r="M52" s="45" t="s">
        <v>60</v>
      </c>
      <c r="N52" s="36">
        <f>28</f>
        <v>28</v>
      </c>
      <c r="O52" s="5">
        <f>40*0.2</f>
        <v>8</v>
      </c>
      <c r="P52" s="6">
        <f>0.2*50</f>
        <v>10</v>
      </c>
      <c r="Q52" s="7">
        <f>0.2*60</f>
        <v>12</v>
      </c>
      <c r="R52" s="5">
        <f>0.2*50</f>
        <v>10</v>
      </c>
      <c r="S52" s="6">
        <f>0.2*60</f>
        <v>12</v>
      </c>
      <c r="T52" s="7">
        <f>0.2*70</f>
        <v>14</v>
      </c>
      <c r="U52" s="5">
        <f>0.2*60</f>
        <v>12</v>
      </c>
      <c r="V52" s="6">
        <f>0.2*70</f>
        <v>14</v>
      </c>
      <c r="W52" s="7">
        <f>0.2*80</f>
        <v>16</v>
      </c>
      <c r="X52" s="35" t="s">
        <v>213</v>
      </c>
    </row>
    <row r="53" spans="1:24" ht="15" customHeight="1" x14ac:dyDescent="0.35">
      <c r="A53" s="76" t="s">
        <v>122</v>
      </c>
      <c r="B53" s="34" t="s">
        <v>56</v>
      </c>
      <c r="C53" s="34" t="s">
        <v>15</v>
      </c>
      <c r="D53" s="35" t="s">
        <v>166</v>
      </c>
      <c r="E53" s="1" t="s">
        <v>7</v>
      </c>
      <c r="F53" s="1" t="s">
        <v>7</v>
      </c>
      <c r="G53" s="1" t="s">
        <v>7</v>
      </c>
      <c r="H53" s="1" t="s">
        <v>76</v>
      </c>
      <c r="I53" s="42" t="s">
        <v>217</v>
      </c>
      <c r="J53" s="1" t="s">
        <v>39</v>
      </c>
      <c r="K53" s="1" t="s">
        <v>175</v>
      </c>
      <c r="L53" s="1" t="s">
        <v>7</v>
      </c>
      <c r="M53" s="45" t="s">
        <v>60</v>
      </c>
      <c r="N53" s="36">
        <f>65</f>
        <v>65</v>
      </c>
      <c r="O53" s="5">
        <f>30*0.2</f>
        <v>6</v>
      </c>
      <c r="P53" s="6">
        <f>0.2*40</f>
        <v>8</v>
      </c>
      <c r="Q53" s="7">
        <f>0.2*50</f>
        <v>10</v>
      </c>
      <c r="R53" s="5">
        <f>0.2*50</f>
        <v>10</v>
      </c>
      <c r="S53" s="6">
        <f>0.2*65</f>
        <v>13</v>
      </c>
      <c r="T53" s="7">
        <f>0.2*75</f>
        <v>15</v>
      </c>
      <c r="U53" s="5">
        <f>0.2*70</f>
        <v>14</v>
      </c>
      <c r="V53" s="6">
        <f>0.2*80</f>
        <v>16</v>
      </c>
      <c r="W53" s="7">
        <f>0.2*90</f>
        <v>18</v>
      </c>
      <c r="X53" s="35" t="s">
        <v>213</v>
      </c>
    </row>
    <row r="54" spans="1:24" ht="15" customHeight="1" x14ac:dyDescent="0.35">
      <c r="A54" s="76" t="s">
        <v>90</v>
      </c>
      <c r="B54" s="34" t="s">
        <v>63</v>
      </c>
      <c r="C54" s="32"/>
      <c r="D54" s="32"/>
      <c r="E54" s="18"/>
      <c r="F54" s="17"/>
      <c r="G54" s="17"/>
      <c r="H54" s="17"/>
      <c r="I54" s="17"/>
      <c r="J54" s="17"/>
      <c r="K54" s="17"/>
      <c r="L54" s="17"/>
      <c r="M54" s="16"/>
      <c r="N54" s="32"/>
      <c r="O54" s="18"/>
      <c r="P54" s="17"/>
      <c r="Q54" s="16"/>
      <c r="R54" s="18"/>
      <c r="S54" s="17"/>
      <c r="T54" s="16"/>
      <c r="U54" s="18"/>
      <c r="V54" s="17"/>
      <c r="W54" s="16"/>
      <c r="X54" s="35" t="s">
        <v>141</v>
      </c>
    </row>
    <row r="55" spans="1:24" ht="15" customHeight="1" x14ac:dyDescent="0.35">
      <c r="A55" s="76" t="s">
        <v>130</v>
      </c>
      <c r="B55" s="34" t="s">
        <v>127</v>
      </c>
      <c r="C55" s="34" t="s">
        <v>18</v>
      </c>
      <c r="D55" s="31" t="s">
        <v>147</v>
      </c>
      <c r="E55" s="8" t="s">
        <v>70</v>
      </c>
      <c r="F55" s="9" t="s">
        <v>79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10" t="s">
        <v>19</v>
      </c>
      <c r="N55" s="31" t="s">
        <v>19</v>
      </c>
      <c r="O55" s="8">
        <v>0.2</v>
      </c>
      <c r="P55" s="9">
        <v>0.2</v>
      </c>
      <c r="Q55" s="10">
        <v>0.2</v>
      </c>
      <c r="R55" s="8">
        <v>0.2</v>
      </c>
      <c r="S55" s="9">
        <v>0</v>
      </c>
      <c r="T55" s="10">
        <v>0</v>
      </c>
      <c r="U55" s="8">
        <v>0</v>
      </c>
      <c r="V55" s="9">
        <v>0</v>
      </c>
      <c r="W55" s="10">
        <v>0</v>
      </c>
      <c r="X55" s="35" t="s">
        <v>220</v>
      </c>
    </row>
    <row r="56" spans="1:24" ht="15" customHeight="1" x14ac:dyDescent="0.35">
      <c r="A56" s="76" t="s">
        <v>131</v>
      </c>
      <c r="B56" s="34" t="s">
        <v>128</v>
      </c>
      <c r="C56" s="34" t="s">
        <v>18</v>
      </c>
      <c r="D56" s="31" t="s">
        <v>148</v>
      </c>
      <c r="E56" s="8" t="s">
        <v>70</v>
      </c>
      <c r="F56" s="9" t="s">
        <v>79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10" t="s">
        <v>19</v>
      </c>
      <c r="N56" s="31" t="s">
        <v>19</v>
      </c>
      <c r="O56" s="8">
        <v>1.4</v>
      </c>
      <c r="P56" s="9">
        <v>1.4</v>
      </c>
      <c r="Q56" s="10">
        <v>1.4</v>
      </c>
      <c r="R56" s="8">
        <v>1.4</v>
      </c>
      <c r="S56" s="9">
        <v>0.9</v>
      </c>
      <c r="T56" s="10">
        <v>0.9</v>
      </c>
      <c r="U56" s="8">
        <v>0.9</v>
      </c>
      <c r="V56" s="9">
        <v>0.9</v>
      </c>
      <c r="W56" s="10">
        <v>0.9</v>
      </c>
      <c r="X56" s="35" t="s">
        <v>220</v>
      </c>
    </row>
    <row r="57" spans="1:24" ht="15" customHeight="1" x14ac:dyDescent="0.35">
      <c r="A57" s="76" t="s">
        <v>132</v>
      </c>
      <c r="B57" s="34" t="s">
        <v>129</v>
      </c>
      <c r="C57" s="34" t="s">
        <v>18</v>
      </c>
      <c r="D57" s="31" t="s">
        <v>149</v>
      </c>
      <c r="E57" s="8" t="s">
        <v>70</v>
      </c>
      <c r="F57" s="9" t="s">
        <v>79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10" t="s">
        <v>19</v>
      </c>
      <c r="N57" s="31" t="s">
        <v>19</v>
      </c>
      <c r="O57" s="8">
        <v>0.4</v>
      </c>
      <c r="P57" s="9">
        <v>0.4</v>
      </c>
      <c r="Q57" s="10">
        <v>0.4</v>
      </c>
      <c r="R57" s="8">
        <v>0.4</v>
      </c>
      <c r="S57" s="9">
        <v>2.1</v>
      </c>
      <c r="T57" s="10">
        <v>2.2000000000000002</v>
      </c>
      <c r="U57" s="8">
        <v>2.1</v>
      </c>
      <c r="V57" s="9">
        <v>2.2000000000000002</v>
      </c>
      <c r="W57" s="10">
        <v>2.2999999999999998</v>
      </c>
      <c r="X57" s="35" t="s">
        <v>220</v>
      </c>
    </row>
    <row r="58" spans="1:24" ht="15" customHeight="1" x14ac:dyDescent="0.35">
      <c r="A58" s="76" t="s">
        <v>133</v>
      </c>
      <c r="B58" s="34" t="s">
        <v>127</v>
      </c>
      <c r="C58" s="34" t="s">
        <v>18</v>
      </c>
      <c r="D58" s="31" t="s">
        <v>147</v>
      </c>
      <c r="E58" s="8" t="s">
        <v>70</v>
      </c>
      <c r="F58" s="9" t="s">
        <v>228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10" t="s">
        <v>19</v>
      </c>
      <c r="N58" s="31" t="s">
        <v>19</v>
      </c>
      <c r="O58" s="8">
        <v>0.2</v>
      </c>
      <c r="P58" s="9">
        <v>0.2</v>
      </c>
      <c r="Q58" s="10">
        <v>0.2</v>
      </c>
      <c r="R58" s="8">
        <v>0.2</v>
      </c>
      <c r="S58" s="9">
        <v>0</v>
      </c>
      <c r="T58" s="10">
        <v>0</v>
      </c>
      <c r="U58" s="8">
        <v>0</v>
      </c>
      <c r="V58" s="9">
        <v>0</v>
      </c>
      <c r="W58" s="10">
        <v>0</v>
      </c>
      <c r="X58" s="35" t="s">
        <v>220</v>
      </c>
    </row>
    <row r="59" spans="1:24" ht="15" customHeight="1" x14ac:dyDescent="0.35">
      <c r="A59" s="76" t="s">
        <v>143</v>
      </c>
      <c r="B59" s="34" t="s">
        <v>128</v>
      </c>
      <c r="C59" s="34" t="s">
        <v>18</v>
      </c>
      <c r="D59" s="31" t="s">
        <v>148</v>
      </c>
      <c r="E59" s="8" t="s">
        <v>70</v>
      </c>
      <c r="F59" s="9" t="s">
        <v>228</v>
      </c>
      <c r="G59" s="9" t="s">
        <v>19</v>
      </c>
      <c r="H59" s="9" t="s">
        <v>19</v>
      </c>
      <c r="I59" s="9" t="s">
        <v>19</v>
      </c>
      <c r="J59" s="9" t="s">
        <v>19</v>
      </c>
      <c r="K59" s="9" t="s">
        <v>19</v>
      </c>
      <c r="L59" s="9" t="s">
        <v>19</v>
      </c>
      <c r="M59" s="10" t="s">
        <v>19</v>
      </c>
      <c r="N59" s="31" t="s">
        <v>19</v>
      </c>
      <c r="O59" s="8">
        <v>1.4</v>
      </c>
      <c r="P59" s="9">
        <v>1.4</v>
      </c>
      <c r="Q59" s="10">
        <v>1.4</v>
      </c>
      <c r="R59" s="8">
        <v>1.4</v>
      </c>
      <c r="S59" s="9">
        <v>0.9</v>
      </c>
      <c r="T59" s="10">
        <v>0.9</v>
      </c>
      <c r="U59" s="8">
        <v>0.9</v>
      </c>
      <c r="V59" s="9">
        <v>0.9</v>
      </c>
      <c r="W59" s="10">
        <v>0.9</v>
      </c>
      <c r="X59" s="35" t="s">
        <v>220</v>
      </c>
    </row>
    <row r="60" spans="1:24" ht="15" customHeight="1" x14ac:dyDescent="0.35">
      <c r="A60" s="76" t="s">
        <v>176</v>
      </c>
      <c r="B60" s="34" t="s">
        <v>129</v>
      </c>
      <c r="C60" s="34" t="s">
        <v>18</v>
      </c>
      <c r="D60" s="31" t="s">
        <v>149</v>
      </c>
      <c r="E60" s="8" t="s">
        <v>70</v>
      </c>
      <c r="F60" s="9" t="s">
        <v>228</v>
      </c>
      <c r="G60" s="9" t="s">
        <v>19</v>
      </c>
      <c r="H60" s="9" t="s">
        <v>19</v>
      </c>
      <c r="I60" s="9" t="s">
        <v>19</v>
      </c>
      <c r="J60" s="9" t="s">
        <v>19</v>
      </c>
      <c r="K60" s="9" t="s">
        <v>19</v>
      </c>
      <c r="L60" s="9" t="s">
        <v>19</v>
      </c>
      <c r="M60" s="10" t="s">
        <v>19</v>
      </c>
      <c r="N60" s="31" t="s">
        <v>19</v>
      </c>
      <c r="O60" s="8">
        <v>0.4</v>
      </c>
      <c r="P60" s="9">
        <v>0.4</v>
      </c>
      <c r="Q60" s="10">
        <v>0.4</v>
      </c>
      <c r="R60" s="8">
        <v>0.4</v>
      </c>
      <c r="S60" s="9">
        <v>2.1</v>
      </c>
      <c r="T60" s="10">
        <v>2.2000000000000002</v>
      </c>
      <c r="U60" s="8">
        <v>2.1</v>
      </c>
      <c r="V60" s="9">
        <v>2.2000000000000002</v>
      </c>
      <c r="W60" s="10">
        <v>2.2999999999999998</v>
      </c>
      <c r="X60" s="35" t="s">
        <v>220</v>
      </c>
    </row>
    <row r="61" spans="1:24" ht="15" customHeight="1" x14ac:dyDescent="0.35">
      <c r="A61" s="76" t="s">
        <v>184</v>
      </c>
      <c r="B61" s="34" t="s">
        <v>134</v>
      </c>
      <c r="C61" s="34" t="s">
        <v>18</v>
      </c>
      <c r="D61" s="31" t="s">
        <v>144</v>
      </c>
      <c r="E61" s="8" t="s">
        <v>135</v>
      </c>
      <c r="F61" s="9" t="s">
        <v>136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10" t="s">
        <v>19</v>
      </c>
      <c r="N61" s="31" t="s">
        <v>19</v>
      </c>
      <c r="O61" s="8">
        <v>100</v>
      </c>
      <c r="P61" s="9">
        <v>100</v>
      </c>
      <c r="Q61" s="10">
        <v>100</v>
      </c>
      <c r="R61" s="8">
        <v>100</v>
      </c>
      <c r="S61" s="9">
        <v>100</v>
      </c>
      <c r="T61" s="10">
        <v>100</v>
      </c>
      <c r="U61" s="8">
        <v>100</v>
      </c>
      <c r="V61" s="9">
        <v>100</v>
      </c>
      <c r="W61" s="10">
        <v>100</v>
      </c>
      <c r="X61" s="35" t="s">
        <v>182</v>
      </c>
    </row>
    <row r="62" spans="1:24" ht="15" customHeight="1" x14ac:dyDescent="0.35">
      <c r="A62" s="76" t="s">
        <v>229</v>
      </c>
      <c r="B62" s="34" t="s">
        <v>134</v>
      </c>
      <c r="C62" s="34" t="s">
        <v>18</v>
      </c>
      <c r="D62" s="31" t="s">
        <v>146</v>
      </c>
      <c r="E62" s="8" t="s">
        <v>135</v>
      </c>
      <c r="F62" s="39" t="s">
        <v>145</v>
      </c>
      <c r="G62" s="9" t="s">
        <v>19</v>
      </c>
      <c r="H62" s="9" t="s">
        <v>19</v>
      </c>
      <c r="I62" s="9" t="s">
        <v>19</v>
      </c>
      <c r="J62" s="9" t="s">
        <v>19</v>
      </c>
      <c r="K62" s="9" t="s">
        <v>19</v>
      </c>
      <c r="L62" s="9" t="s">
        <v>19</v>
      </c>
      <c r="M62" s="10" t="s">
        <v>19</v>
      </c>
      <c r="N62" s="31" t="s">
        <v>19</v>
      </c>
      <c r="O62" s="8">
        <v>100</v>
      </c>
      <c r="P62" s="9">
        <v>100</v>
      </c>
      <c r="Q62" s="10">
        <v>100</v>
      </c>
      <c r="R62" s="8">
        <v>100</v>
      </c>
      <c r="S62" s="9">
        <v>100</v>
      </c>
      <c r="T62" s="10">
        <v>100</v>
      </c>
      <c r="U62" s="8">
        <v>100</v>
      </c>
      <c r="V62" s="9">
        <v>100</v>
      </c>
      <c r="W62" s="10">
        <v>100</v>
      </c>
      <c r="X62" s="35" t="s">
        <v>182</v>
      </c>
    </row>
    <row r="63" spans="1:24" ht="15" customHeight="1" x14ac:dyDescent="0.35">
      <c r="A63" s="76" t="s">
        <v>230</v>
      </c>
      <c r="B63" s="34" t="s">
        <v>177</v>
      </c>
      <c r="C63" s="34" t="s">
        <v>15</v>
      </c>
      <c r="D63" s="31" t="s">
        <v>178</v>
      </c>
      <c r="E63" s="1" t="s">
        <v>7</v>
      </c>
      <c r="F63" s="39" t="s">
        <v>7</v>
      </c>
      <c r="G63" s="9" t="s">
        <v>7</v>
      </c>
      <c r="H63" s="9" t="s">
        <v>7</v>
      </c>
      <c r="I63" s="9" t="s">
        <v>7</v>
      </c>
      <c r="J63" s="48" t="s">
        <v>39</v>
      </c>
      <c r="K63" s="9" t="s">
        <v>179</v>
      </c>
      <c r="L63" s="9" t="s">
        <v>180</v>
      </c>
      <c r="M63" s="45" t="s">
        <v>60</v>
      </c>
      <c r="N63" s="31">
        <v>100</v>
      </c>
      <c r="O63" s="8">
        <v>10</v>
      </c>
      <c r="P63" s="9">
        <v>20</v>
      </c>
      <c r="Q63" s="10">
        <v>30</v>
      </c>
      <c r="R63" s="81">
        <f t="shared" ref="R63:T64" si="1">(O63+U63)/2</f>
        <v>45.5</v>
      </c>
      <c r="S63" s="82">
        <f t="shared" si="1"/>
        <v>59.5</v>
      </c>
      <c r="T63" s="83">
        <f t="shared" si="1"/>
        <v>64.5</v>
      </c>
      <c r="U63" s="8">
        <v>81</v>
      </c>
      <c r="V63" s="9">
        <v>99</v>
      </c>
      <c r="W63" s="10">
        <v>99</v>
      </c>
      <c r="X63" s="35" t="s">
        <v>240</v>
      </c>
    </row>
    <row r="64" spans="1:24" ht="15" customHeight="1" x14ac:dyDescent="0.35">
      <c r="A64" s="76" t="s">
        <v>231</v>
      </c>
      <c r="B64" s="34" t="s">
        <v>183</v>
      </c>
      <c r="C64" s="34" t="s">
        <v>15</v>
      </c>
      <c r="D64" s="31" t="s">
        <v>185</v>
      </c>
      <c r="E64" s="1" t="s">
        <v>7</v>
      </c>
      <c r="F64" s="39" t="s">
        <v>7</v>
      </c>
      <c r="G64" s="9" t="s">
        <v>7</v>
      </c>
      <c r="H64" s="9" t="s">
        <v>7</v>
      </c>
      <c r="I64" s="9" t="s">
        <v>7</v>
      </c>
      <c r="J64" s="48" t="s">
        <v>39</v>
      </c>
      <c r="K64" s="9" t="s">
        <v>179</v>
      </c>
      <c r="L64" s="9" t="s">
        <v>186</v>
      </c>
      <c r="M64" s="45" t="s">
        <v>60</v>
      </c>
      <c r="N64" s="31">
        <v>100</v>
      </c>
      <c r="O64" s="8">
        <v>10</v>
      </c>
      <c r="P64" s="9">
        <v>20</v>
      </c>
      <c r="Q64" s="10">
        <v>30</v>
      </c>
      <c r="R64" s="81">
        <f t="shared" si="1"/>
        <v>45.5</v>
      </c>
      <c r="S64" s="82">
        <f t="shared" si="1"/>
        <v>57.5</v>
      </c>
      <c r="T64" s="83">
        <f t="shared" si="1"/>
        <v>63.5</v>
      </c>
      <c r="U64" s="8">
        <v>81</v>
      </c>
      <c r="V64" s="9">
        <v>95</v>
      </c>
      <c r="W64" s="10">
        <v>97</v>
      </c>
      <c r="X64" s="35" t="s">
        <v>240</v>
      </c>
    </row>
    <row r="65" spans="1:24" ht="14.4" customHeight="1" x14ac:dyDescent="0.35">
      <c r="A65" s="76" t="s">
        <v>232</v>
      </c>
      <c r="B65" s="34" t="s">
        <v>233</v>
      </c>
      <c r="C65" s="34" t="s">
        <v>15</v>
      </c>
      <c r="D65" s="31" t="s">
        <v>234</v>
      </c>
      <c r="E65" s="1" t="s">
        <v>7</v>
      </c>
      <c r="F65" s="39" t="s">
        <v>236</v>
      </c>
      <c r="G65" s="9" t="s">
        <v>7</v>
      </c>
      <c r="H65" s="9" t="s">
        <v>7</v>
      </c>
      <c r="I65" s="9" t="s">
        <v>7</v>
      </c>
      <c r="J65" s="48" t="s">
        <v>39</v>
      </c>
      <c r="K65" s="9" t="s">
        <v>179</v>
      </c>
      <c r="L65" s="9" t="s">
        <v>7</v>
      </c>
      <c r="M65" s="45" t="s">
        <v>237</v>
      </c>
      <c r="N65" s="31">
        <v>20</v>
      </c>
      <c r="O65" s="8">
        <v>5</v>
      </c>
      <c r="P65" s="9">
        <v>15</v>
      </c>
      <c r="Q65" s="10">
        <v>25</v>
      </c>
      <c r="R65" s="8">
        <v>20</v>
      </c>
      <c r="S65" s="9">
        <v>35</v>
      </c>
      <c r="T65" s="10">
        <v>50</v>
      </c>
      <c r="U65" s="8">
        <v>35</v>
      </c>
      <c r="V65" s="9">
        <v>55</v>
      </c>
      <c r="W65" s="10">
        <v>75</v>
      </c>
      <c r="X65" s="35" t="s">
        <v>235</v>
      </c>
    </row>
    <row r="66" spans="1:24" ht="15" customHeight="1" x14ac:dyDescent="0.35">
      <c r="A66" s="76" t="s">
        <v>241</v>
      </c>
      <c r="B66" s="34" t="s">
        <v>243</v>
      </c>
      <c r="C66" s="34" t="s">
        <v>15</v>
      </c>
      <c r="D66" s="31" t="s">
        <v>244</v>
      </c>
      <c r="E66" s="1" t="s">
        <v>7</v>
      </c>
      <c r="F66" s="39" t="s">
        <v>7</v>
      </c>
      <c r="G66" s="9" t="s">
        <v>7</v>
      </c>
      <c r="H66" s="9" t="s">
        <v>7</v>
      </c>
      <c r="I66" s="9" t="s">
        <v>7</v>
      </c>
      <c r="J66" s="48" t="s">
        <v>39</v>
      </c>
      <c r="K66" s="9" t="s">
        <v>179</v>
      </c>
      <c r="L66" s="9" t="s">
        <v>242</v>
      </c>
      <c r="M66" s="45" t="s">
        <v>60</v>
      </c>
      <c r="N66" s="31">
        <v>100</v>
      </c>
      <c r="O66" s="8">
        <v>0</v>
      </c>
      <c r="P66" s="9">
        <v>0</v>
      </c>
      <c r="Q66" s="10">
        <v>97</v>
      </c>
      <c r="R66" s="8">
        <v>0</v>
      </c>
      <c r="S66" s="9">
        <v>0</v>
      </c>
      <c r="T66" s="10">
        <v>97</v>
      </c>
      <c r="U66" s="8">
        <v>0</v>
      </c>
      <c r="V66" s="9">
        <v>0</v>
      </c>
      <c r="W66" s="10">
        <v>97</v>
      </c>
      <c r="X66" s="35" t="s">
        <v>245</v>
      </c>
    </row>
    <row r="67" spans="1:24" ht="15" customHeight="1" x14ac:dyDescent="0.35">
      <c r="A67" s="76" t="s">
        <v>91</v>
      </c>
      <c r="B67" s="34" t="s">
        <v>67</v>
      </c>
      <c r="C67" s="34" t="s">
        <v>15</v>
      </c>
      <c r="D67" s="31" t="s">
        <v>167</v>
      </c>
      <c r="E67" s="8" t="s">
        <v>173</v>
      </c>
      <c r="F67" s="9" t="s">
        <v>7</v>
      </c>
      <c r="G67" s="9" t="s">
        <v>7</v>
      </c>
      <c r="H67" s="9" t="s">
        <v>77</v>
      </c>
      <c r="I67" s="9" t="s">
        <v>124</v>
      </c>
      <c r="J67" s="48" t="s">
        <v>39</v>
      </c>
      <c r="K67" s="48" t="s">
        <v>7</v>
      </c>
      <c r="L67" s="48" t="s">
        <v>7</v>
      </c>
      <c r="M67" s="10" t="s">
        <v>7</v>
      </c>
      <c r="N67" s="67">
        <v>100</v>
      </c>
      <c r="O67" s="8">
        <v>10</v>
      </c>
      <c r="P67" s="9">
        <v>20</v>
      </c>
      <c r="Q67" s="10">
        <v>30</v>
      </c>
      <c r="R67" s="8">
        <v>20</v>
      </c>
      <c r="S67" s="9">
        <v>40</v>
      </c>
      <c r="T67" s="10">
        <v>60</v>
      </c>
      <c r="U67" s="8">
        <v>30</v>
      </c>
      <c r="V67" s="9">
        <v>60</v>
      </c>
      <c r="W67" s="10">
        <v>83</v>
      </c>
      <c r="X67" s="35" t="s">
        <v>211</v>
      </c>
    </row>
    <row r="68" spans="1:24" ht="15" customHeight="1" x14ac:dyDescent="0.35">
      <c r="A68" s="76" t="s">
        <v>92</v>
      </c>
      <c r="B68" s="34" t="s">
        <v>68</v>
      </c>
      <c r="C68" s="32"/>
      <c r="D68" s="32"/>
      <c r="E68" s="18"/>
      <c r="F68" s="17"/>
      <c r="G68" s="17"/>
      <c r="H68" s="17"/>
      <c r="I68" s="17"/>
      <c r="J68" s="17"/>
      <c r="K68" s="17"/>
      <c r="L68" s="17"/>
      <c r="M68" s="16"/>
      <c r="N68" s="32"/>
      <c r="O68" s="14"/>
      <c r="P68" s="15"/>
      <c r="Q68" s="16"/>
      <c r="R68" s="18"/>
      <c r="S68" s="15"/>
      <c r="T68" s="16"/>
      <c r="U68" s="14"/>
      <c r="V68" s="15"/>
      <c r="W68" s="16"/>
      <c r="X68" s="35" t="s">
        <v>142</v>
      </c>
    </row>
    <row r="69" spans="1:24" ht="15" customHeight="1" x14ac:dyDescent="0.35">
      <c r="A69" s="76" t="s">
        <v>93</v>
      </c>
      <c r="B69" s="34" t="s">
        <v>69</v>
      </c>
      <c r="C69" s="32"/>
      <c r="D69" s="32"/>
      <c r="E69" s="18"/>
      <c r="F69" s="17"/>
      <c r="G69" s="17"/>
      <c r="H69" s="17"/>
      <c r="I69" s="17"/>
      <c r="J69" s="17"/>
      <c r="K69" s="17"/>
      <c r="L69" s="17"/>
      <c r="M69" s="16"/>
      <c r="N69" s="32"/>
      <c r="O69" s="14"/>
      <c r="P69" s="15"/>
      <c r="Q69" s="16"/>
      <c r="R69" s="18"/>
      <c r="S69" s="15"/>
      <c r="T69" s="16"/>
      <c r="U69" s="14"/>
      <c r="V69" s="15"/>
      <c r="W69" s="16"/>
      <c r="X69" s="35" t="s">
        <v>168</v>
      </c>
    </row>
    <row r="70" spans="1:24" ht="15" customHeight="1" x14ac:dyDescent="0.35">
      <c r="A70" s="76" t="s">
        <v>94</v>
      </c>
      <c r="B70" s="34" t="s">
        <v>57</v>
      </c>
      <c r="C70" s="32"/>
      <c r="D70" s="32"/>
      <c r="E70" s="18"/>
      <c r="F70" s="17"/>
      <c r="G70" s="17"/>
      <c r="H70" s="17"/>
      <c r="I70" s="17"/>
      <c r="J70" s="17"/>
      <c r="K70" s="17"/>
      <c r="L70" s="17"/>
      <c r="M70" s="16"/>
      <c r="N70" s="32"/>
      <c r="O70" s="14"/>
      <c r="P70" s="15"/>
      <c r="Q70" s="16"/>
      <c r="R70" s="18"/>
      <c r="S70" s="15"/>
      <c r="T70" s="16"/>
      <c r="U70" s="14"/>
      <c r="V70" s="15"/>
      <c r="W70" s="16"/>
      <c r="X70" s="35" t="s">
        <v>169</v>
      </c>
    </row>
    <row r="71" spans="1:24" ht="15" customHeight="1" x14ac:dyDescent="0.35">
      <c r="A71" s="76" t="s">
        <v>95</v>
      </c>
      <c r="B71" s="34" t="s">
        <v>58</v>
      </c>
      <c r="C71" s="32"/>
      <c r="D71" s="32"/>
      <c r="E71" s="18"/>
      <c r="F71" s="17"/>
      <c r="G71" s="17"/>
      <c r="H71" s="17"/>
      <c r="I71" s="17"/>
      <c r="J71" s="17"/>
      <c r="K71" s="17"/>
      <c r="L71" s="17"/>
      <c r="M71" s="16"/>
      <c r="N71" s="32"/>
      <c r="O71" s="14"/>
      <c r="P71" s="15"/>
      <c r="Q71" s="16"/>
      <c r="R71" s="18"/>
      <c r="S71" s="15"/>
      <c r="T71" s="16"/>
      <c r="U71" s="14"/>
      <c r="V71" s="15"/>
      <c r="W71" s="16"/>
      <c r="X71" s="35" t="s">
        <v>169</v>
      </c>
    </row>
    <row r="72" spans="1:24" ht="15" customHeight="1" thickBot="1" x14ac:dyDescent="0.4">
      <c r="A72" s="80" t="s">
        <v>96</v>
      </c>
      <c r="B72" s="50" t="s">
        <v>59</v>
      </c>
      <c r="C72" s="56"/>
      <c r="D72" s="56"/>
      <c r="E72" s="57"/>
      <c r="F72" s="58"/>
      <c r="G72" s="58"/>
      <c r="H72" s="58"/>
      <c r="I72" s="58"/>
      <c r="J72" s="58"/>
      <c r="K72" s="58"/>
      <c r="L72" s="58"/>
      <c r="M72" s="59"/>
      <c r="N72" s="56"/>
      <c r="O72" s="60"/>
      <c r="P72" s="61"/>
      <c r="Q72" s="59"/>
      <c r="R72" s="57"/>
      <c r="S72" s="61"/>
      <c r="T72" s="59"/>
      <c r="U72" s="60"/>
      <c r="V72" s="61"/>
      <c r="W72" s="59"/>
      <c r="X72" s="69" t="s">
        <v>169</v>
      </c>
    </row>
    <row r="73" spans="1:24" ht="15" customHeight="1" x14ac:dyDescent="0.35">
      <c r="B73" s="2"/>
      <c r="C73" s="2"/>
    </row>
    <row r="74" spans="1:24" ht="15" customHeight="1" x14ac:dyDescent="0.35">
      <c r="B74" s="2"/>
      <c r="C74" s="2"/>
    </row>
    <row r="75" spans="1:24" ht="15" customHeight="1" x14ac:dyDescent="0.35">
      <c r="B75" s="2"/>
      <c r="C75" s="2"/>
    </row>
    <row r="76" spans="1:24" ht="15" customHeight="1" x14ac:dyDescent="0.35">
      <c r="B76" s="2"/>
      <c r="C76" s="2"/>
    </row>
    <row r="77" spans="1:24" ht="15" customHeight="1" x14ac:dyDescent="0.35">
      <c r="B77" s="2"/>
      <c r="C77" s="2"/>
    </row>
    <row r="78" spans="1:24" ht="15" customHeight="1" x14ac:dyDescent="0.35">
      <c r="B78" s="2"/>
      <c r="C78" s="2"/>
    </row>
    <row r="79" spans="1:24" ht="15" customHeight="1" x14ac:dyDescent="0.35">
      <c r="B79" s="2"/>
      <c r="C79" s="2"/>
    </row>
    <row r="80" spans="1:24" ht="15" customHeight="1" x14ac:dyDescent="0.35">
      <c r="B80" s="2"/>
      <c r="C80" s="2"/>
    </row>
    <row r="81" spans="2:3" ht="15" customHeight="1" x14ac:dyDescent="0.35">
      <c r="B81" s="2"/>
      <c r="C81" s="2"/>
    </row>
    <row r="82" spans="2:3" ht="15" customHeight="1" x14ac:dyDescent="0.35">
      <c r="B82" s="2"/>
      <c r="C82" s="2"/>
    </row>
  </sheetData>
  <phoneticPr fontId="6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0CD0EFF2C36E45B887873B09900865" ma:contentTypeVersion="13" ma:contentTypeDescription="Create a new document." ma:contentTypeScope="" ma:versionID="d66b56a20d4eaf705d790c6150f66f38">
  <xsd:schema xmlns:xsd="http://www.w3.org/2001/XMLSchema" xmlns:xs="http://www.w3.org/2001/XMLSchema" xmlns:p="http://schemas.microsoft.com/office/2006/metadata/properties" xmlns:ns2="87b3032e-f7f9-4939-85f5-4afef5197146" xmlns:ns3="16626f29-7e4a-407f-a921-f031d548d5fa" targetNamespace="http://schemas.microsoft.com/office/2006/metadata/properties" ma:root="true" ma:fieldsID="d1bd69cac2c8bb5204e6b65823c1ef3b" ns2:_="" ns3:_="">
    <xsd:import namespace="87b3032e-f7f9-4939-85f5-4afef5197146"/>
    <xsd:import namespace="16626f29-7e4a-407f-a921-f031d548d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3032e-f7f9-4939-85f5-4afef51971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26f29-7e4a-407f-a921-f031d548d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b3032e-f7f9-4939-85f5-4afef51971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E4A2B6-94FE-401C-A9E6-1B4CF8BBE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b3032e-f7f9-4939-85f5-4afef5197146"/>
    <ds:schemaRef ds:uri="16626f29-7e4a-407f-a921-f031d548d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E82590-F61B-4596-8365-8EA602BB79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DF270A-1BF4-4980-8B01-BE2B5EEA0DDC}">
  <ds:schemaRefs>
    <ds:schemaRef ds:uri="http://schemas.microsoft.com/office/2006/metadata/properties"/>
    <ds:schemaRef ds:uri="http://schemas.microsoft.com/office/infopath/2007/PartnerControls"/>
    <ds:schemaRef ds:uri="87b3032e-f7f9-4939-85f5-4afef51971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Röck</dc:creator>
  <cp:keywords/>
  <dc:description/>
  <cp:lastModifiedBy>Alaux, Nicolas Bernard Jean</cp:lastModifiedBy>
  <cp:revision/>
  <dcterms:created xsi:type="dcterms:W3CDTF">2023-02-10T09:36:49Z</dcterms:created>
  <dcterms:modified xsi:type="dcterms:W3CDTF">2025-02-18T16:28:17Z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0x010100540CD0EFF2C36E45B887873B09900865</vt:lpwstr>
  </property>
  <property fmtid="{D5CDD505-2E9C-101B-9397-08002B2CF9AE}" pid="3" name="MediaServiceImageTags">
    <vt:lpwstr/>
  </property>
</Properties>
</file>